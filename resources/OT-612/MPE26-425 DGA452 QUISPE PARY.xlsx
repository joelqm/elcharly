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abriel\OneDrive - Makita Perú S.A\Documents\Documentos\STMPE\ARCHIVOS 2026\GARANTIA 2026\7- JULIO\"/>
    </mc:Choice>
  </mc:AlternateContent>
  <workbookProtection workbookPassword="CE28" lockStructure="1"/>
  <bookViews>
    <workbookView xWindow="360" yWindow="15" windowWidth="20955" windowHeight="9720"/>
  </bookViews>
  <sheets>
    <sheet name="FORMULARIO_GARANTIA" sheetId="1" r:id="rId1"/>
    <sheet name="BASE_STA" sheetId="2" state="hidden" r:id="rId2"/>
  </sheets>
  <definedNames>
    <definedName name="_xlnm._FilterDatabase" localSheetId="1" hidden="1">BASE_STA!$B$10:$O$82</definedName>
    <definedName name="_xlnm._FilterDatabase" localSheetId="0" hidden="1">FORMULARIO_GARANTIA!$F$71:$G$75</definedName>
    <definedName name="AQUI_COLOQUE_LAS_FOTOS">FORMULARIO_GARANTIA!$C$79</definedName>
    <definedName name="_xlnm.Print_Area" localSheetId="0">FORMULARIO_GARANTIA!$A$1:$H$158</definedName>
    <definedName name="CELDA_BOLETA_FACTURA">FORMULARIO_GARANTIA!$G$38</definedName>
    <definedName name="CELDA_CIUDAD_CLIENTE">FORMULARIO_GARANTIA!$D$39</definedName>
    <definedName name="CELDA_DIRECCION_CLIENTE">FORMULARIO_GARANTIA!$D$38</definedName>
    <definedName name="CELDA_DISTRIBUIDOR">FORMULARIO_GARANTIA!$G$12</definedName>
    <definedName name="CELDA_DISTRIBUIDOR_FILA2">FORMULARIO_GARANTIA!$E$12</definedName>
    <definedName name="CELDA_DISTRIBUIDOR_FILA3">FORMULARIO_GARANTIA!#REF!</definedName>
    <definedName name="CELDA_F_AUTORIZACION">FORMULARIO_GARANTIA!$G$71</definedName>
    <definedName name="CELDA_F_COMPRA">FORMULARIO_GARANTIA!$G$37</definedName>
    <definedName name="CELDA_F_DE_EMISION_STA">FORMULARIO_GARANTIA!$G$72</definedName>
    <definedName name="CELDA_F_RECEPCION">FORMULARIO_GARANTIA!$G$36</definedName>
    <definedName name="CELDA_FALLA">FORMULARIO_GARANTIA!$D$57</definedName>
    <definedName name="CELDA_FALTAN_DATOS">FORMULARIO_GARANTIA!$C$75</definedName>
    <definedName name="CELDA_FIRMA_CLIENTE">FORMULARIO_GARANTIA!$G$40</definedName>
    <definedName name="CELDA_FORMULARIO_VALIDO_O_NO_VALIDO">FORMULARIO_GARANTIA!$D$2</definedName>
    <definedName name="CELDA_INFORME_TECNICO">FORMULARIO_GARANTIA!$D$58</definedName>
    <definedName name="CELDA_MODELO">FORMULARIO_GARANTIA!$D$44</definedName>
    <definedName name="CELDA_NOM_COMERCIAL_DEL_SERVICIO_TECNICO">FORMULARIO_GARANTIA!$G$11</definedName>
    <definedName name="CELDA_NOMBRE_CLIENTE">FORMULARIO_GARANTIA!$D$37</definedName>
    <definedName name="CELDA_NOMBRE_DEL_SERVICO_TECNICO">FORMULARIO_GARANTIA!$D$30</definedName>
    <definedName name="CELDA_NOMBRE_MPE">FORMULARIO_GARANTIA!$D$70</definedName>
    <definedName name="CELDA_NUMERO_MPE_DE_AUTORIZACION">FORMULARIO_GARANTIA!$D$27</definedName>
    <definedName name="CELDA_OT">FORMULARIO_GARANTIA!$G$27</definedName>
    <definedName name="CELDA_PRIMERA_LINEA_COMENTARIO_MPE">FORMULARIO_GARANTIA!$D$72</definedName>
    <definedName name="CELDA_RUC_CLIENTE">FORMULARIO_GARANTIA!$D$36</definedName>
    <definedName name="CELDA_RUC_DEL_SERVICIO_TECNICO">FORMULARIO_GARANTIA!$D$29</definedName>
    <definedName name="CELDA_SEGUNDA_LINEA_COMENTARIO_MPE">FORMULARIO_GARANTIA!$C$73</definedName>
    <definedName name="CELDA_SERIE">FORMULARIO_GARANTIA!$G$44</definedName>
    <definedName name="CELDA_TECNICO_DEL_STA">FORMULARIO_GARANTIA!$G$73</definedName>
    <definedName name="CELDA_TELEFONO_CLIENTE">FORMULARIO_GARANTIA!$D$40</definedName>
    <definedName name="CELDA_TERCERA_LINEA_COMENTARIO_MPE">FORMULARIO_GARANTIA!$C$74</definedName>
    <definedName name="CELDA_TOTAL_CODIGOS">FORMULARIO_GARANTIA!$C$55</definedName>
    <definedName name="ELIJA_MANO_D_OBRA">FORMULARIO_GARANTIA!$G$75</definedName>
    <definedName name="ELIJA_UN_CODIGO_D_FALLA">FORMULARIO_GARANTIA!$F$8</definedName>
    <definedName name="ELIJA_UNA_CATEGORIA_D_FALLA">FORMULARIO_GARANTIA!$G$60</definedName>
    <definedName name="RANGO_SUMA_CLIENTE">FORMULARIO_GARANTIA!$E$36:$E$41</definedName>
    <definedName name="RANGO_SUMA_DATOS_DOC">FORMULARIO_GARANTIA!$H$37:$H$40</definedName>
    <definedName name="RANGO_SUMA_FALLA_Y_DEBIDOA">FORMULARIO_GARANTIA!$E$57:$E$58</definedName>
    <definedName name="RANGO_SUMA_MODELO">FORMULARIO_GARANTIA!$E$44</definedName>
    <definedName name="RANGO_SUMA_OT">FORMULARIO_GARANTIA!$H$27</definedName>
    <definedName name="RANGO_SUMA_SERIE">FORMULARIO_GARANTIA!$H$44</definedName>
    <definedName name="RANGO_SUMA_ST_STMPE">FORMULARIO_GARANTIA!$E$29:$E$30</definedName>
    <definedName name="RANGO_SUMA_SUSTENTO_COMENTARIO">FORMULARIO_GARANTIA!$H$61</definedName>
    <definedName name="RG_CODIGOS">FORMULARIO_GARANTIA!$C$47:$C$54</definedName>
    <definedName name="RG_CODIGOS_DESCRIPCIONES_CANTIDADES">FORMULARIO_GARANTIA!$C$47:$E$54</definedName>
    <definedName name="RG_DATOS_RESUMEN">FORMULARIO_GARANTIA!$D$1:$D$24</definedName>
    <definedName name="RG_MANO_D_OBRA">FORMULARIO_GARANTIA!$G$15:$G$18</definedName>
    <definedName name="SUSTENTO_COMENTARIO_LINEA1">FORMULARIO_GARANTIA!$C$61</definedName>
    <definedName name="SUSTENTO_COMENTARIO_LINEA2">FORMULARIO_GARANTIA!$C$62</definedName>
    <definedName name="SUSTENTO_COMENTARIO_LINEA3">FORMULARIO_GARANTIA!$C$63</definedName>
    <definedName name="SUSTENTO_COMENTARIO_LINEA4">FORMULARIO_GARANTIA!$C$64</definedName>
    <definedName name="SUSTENTO_COMENTARIO_LINEA5">FORMULARIO_GARANTIA!$C$65</definedName>
    <definedName name="SUSTENTO_COMENTARIO_LINEA6">FORMULARIO_GARANTIA!$C$66</definedName>
    <definedName name="SUSTENTO_COMENTARIO_LINEA7">FORMULARIO_GARANTIA!$C$67</definedName>
    <definedName name="SUSTENTO_COMENTARIO_LINEA8">FORMULARIO_GARANTIA!$C$68</definedName>
  </definedNames>
  <calcPr calcId="162913"/>
</workbook>
</file>

<file path=xl/calcChain.xml><?xml version="1.0" encoding="utf-8"?>
<calcChain xmlns="http://schemas.openxmlformats.org/spreadsheetml/2006/main">
  <c r="H61" i="1" l="1"/>
  <c r="E58" i="1"/>
  <c r="E57" i="1"/>
  <c r="C55" i="1"/>
  <c r="H44" i="1"/>
  <c r="E44" i="1"/>
  <c r="E40" i="1"/>
  <c r="E39" i="1"/>
  <c r="H38" i="1"/>
  <c r="E38" i="1"/>
  <c r="H37" i="1"/>
  <c r="E37" i="1"/>
  <c r="H36" i="1"/>
  <c r="E36" i="1"/>
  <c r="C75" i="1" s="1"/>
  <c r="D22" i="1" s="1"/>
  <c r="D34" i="1"/>
  <c r="D33" i="1"/>
  <c r="D32" i="1"/>
  <c r="D31" i="1"/>
  <c r="D30" i="1"/>
  <c r="E30" i="1" s="1"/>
  <c r="E29" i="1"/>
  <c r="H27" i="1"/>
  <c r="D24" i="1"/>
  <c r="D23" i="1"/>
  <c r="H22" i="1"/>
  <c r="D21" i="1"/>
  <c r="D20" i="1"/>
  <c r="D19" i="1"/>
  <c r="D18" i="1"/>
  <c r="D17" i="1"/>
  <c r="D16" i="1"/>
  <c r="D15" i="1"/>
  <c r="D14" i="1"/>
  <c r="D13" i="1"/>
  <c r="H12" i="1"/>
  <c r="D12" i="1"/>
  <c r="D11" i="1"/>
  <c r="E10" i="1"/>
  <c r="C72" i="1" s="1"/>
  <c r="D10" i="1"/>
  <c r="D9" i="1"/>
  <c r="D8" i="1"/>
  <c r="D7" i="1"/>
  <c r="D6" i="1"/>
  <c r="D5" i="1"/>
  <c r="G4" i="1"/>
  <c r="D4" i="1"/>
  <c r="D2" i="1"/>
  <c r="D1" i="1"/>
  <c r="D3" i="1" l="1"/>
</calcChain>
</file>

<file path=xl/sharedStrings.xml><?xml version="1.0" encoding="utf-8"?>
<sst xmlns="http://schemas.openxmlformats.org/spreadsheetml/2006/main" count="1621" uniqueCount="913">
  <si>
    <t xml:space="preserve"> AUTORIZACION Nº :</t>
  </si>
  <si>
    <t>ENVIOS</t>
  </si>
  <si>
    <t>"Envie el Formulario para evaluacion.  La respuesta se dara por correo"</t>
  </si>
  <si>
    <t>.</t>
  </si>
  <si>
    <t>Ruc Servicio Tecnico :</t>
  </si>
  <si>
    <t>L</t>
  </si>
  <si>
    <t>Para la observacion</t>
  </si>
  <si>
    <t>Para valuar el Formulario enviar a: serviciotecnicompe@makita.pe</t>
  </si>
  <si>
    <t>Nom. Servicio Tecnico :</t>
  </si>
  <si>
    <t>P</t>
  </si>
  <si>
    <t>Formulario rechazado: Esta incompleta la informacion de las celdas</t>
  </si>
  <si>
    <t>Ruc :</t>
  </si>
  <si>
    <t>S</t>
  </si>
  <si>
    <t>Para la casilla de verif</t>
  </si>
  <si>
    <t>Nombre :</t>
  </si>
  <si>
    <t>Ciudad :</t>
  </si>
  <si>
    <t>DESPACHO POR ALMACEN (LIMA)</t>
  </si>
  <si>
    <t>"Envie el Formulario a Makita.  La respuesta se dara por correo, con el N° de MPE"</t>
  </si>
  <si>
    <t>Ot :</t>
  </si>
  <si>
    <t>DESPACHO POR COURIER (PROVINCIA)</t>
  </si>
  <si>
    <t xml:space="preserve"> CODIGO PRINCIPAL DE LA FALLA</t>
  </si>
  <si>
    <t>F. Recepcion :</t>
  </si>
  <si>
    <t>ENTREGAR A STMPE (HTA EN STMPE)</t>
  </si>
  <si>
    <t>F. Compra :</t>
  </si>
  <si>
    <t xml:space="preserve"> Tecnico del STA :</t>
  </si>
  <si>
    <t>equivale fecha de aprobacion</t>
  </si>
  <si>
    <t>Boleta/Fact :</t>
  </si>
  <si>
    <t xml:space="preserve"> F. de Emision STA :</t>
  </si>
  <si>
    <t>equivale fecha de rechazao</t>
  </si>
  <si>
    <t>Distribuidor :</t>
  </si>
  <si>
    <t xml:space="preserve"> Nombre comercial :</t>
  </si>
  <si>
    <t>Modelo :</t>
  </si>
  <si>
    <t xml:space="preserve"> Distribuidor :</t>
  </si>
  <si>
    <t>Serie :</t>
  </si>
  <si>
    <t>NOMBRE STMPE</t>
  </si>
  <si>
    <t>LISTA DE MANO DE OBRA</t>
  </si>
  <si>
    <t>Falla :</t>
  </si>
  <si>
    <t>Richard Janampa</t>
  </si>
  <si>
    <t>PARA LOS STA</t>
  </si>
  <si>
    <t>Informe Tecnico de Falla :</t>
  </si>
  <si>
    <t>Gerardo Gabriel</t>
  </si>
  <si>
    <t>Sustento/Comentario :</t>
  </si>
  <si>
    <t>Juan Pablo Franco</t>
  </si>
  <si>
    <t>Categoria Falla : tipos de G.</t>
  </si>
  <si>
    <t>NG</t>
  </si>
  <si>
    <t>No es falla de fabrica</t>
  </si>
  <si>
    <t>Codigo de Falla : sin usar</t>
  </si>
  <si>
    <t>GC</t>
  </si>
  <si>
    <t>Garantia comercial</t>
  </si>
  <si>
    <t>Fecha de Aprobacion</t>
  </si>
  <si>
    <t>GM</t>
  </si>
  <si>
    <t>Garantia de equipo</t>
  </si>
  <si>
    <t>F. de Rechazo</t>
  </si>
  <si>
    <t>EdG</t>
  </si>
  <si>
    <t>Extension de garantia</t>
  </si>
  <si>
    <t>Nombre MPE :</t>
  </si>
  <si>
    <t>GdD</t>
  </si>
  <si>
    <t>Garantia de Retail</t>
  </si>
  <si>
    <t>Comentario MPE :</t>
  </si>
  <si>
    <t>MdO</t>
  </si>
  <si>
    <t>solo mano de obra</t>
  </si>
  <si>
    <t>Procede Garantia</t>
  </si>
  <si>
    <t>Fecha de Revision</t>
  </si>
  <si>
    <t>GdR</t>
  </si>
  <si>
    <t>Garantia de repuestos</t>
  </si>
  <si>
    <t>Procede Garantia - Solo Pago de Mano de obra</t>
  </si>
  <si>
    <t>Mano de Obra</t>
  </si>
  <si>
    <t>GdA</t>
  </si>
  <si>
    <t>Garantia de accesorios</t>
  </si>
  <si>
    <t>No Procede Garantia</t>
  </si>
  <si>
    <t>Columna1</t>
  </si>
  <si>
    <t>FORMULARIO DE RECLAMACION DE GARANTIA 2026</t>
  </si>
  <si>
    <t xml:space="preserve"> AUTORIZACION Nº:</t>
  </si>
  <si>
    <t>Nº Gart / Ot. STA:</t>
  </si>
  <si>
    <t xml:space="preserve"> Ruc. del STA :</t>
  </si>
  <si>
    <t>10295867782</t>
  </si>
  <si>
    <t xml:space="preserve"> Nombre del STA :</t>
  </si>
  <si>
    <t xml:space="preserve"> Direccion STA :</t>
  </si>
  <si>
    <t xml:space="preserve"> Reg. Prov. Dist. :</t>
  </si>
  <si>
    <t xml:space="preserve"> Contacto :</t>
  </si>
  <si>
    <t xml:space="preserve"> Telefonos :</t>
  </si>
  <si>
    <t xml:space="preserve"> Ruc/Dni del Cliente :</t>
  </si>
  <si>
    <t>20519999324</t>
  </si>
  <si>
    <t>Fecha Recepción :</t>
  </si>
  <si>
    <t xml:space="preserve"> Nombre del Cliente :</t>
  </si>
  <si>
    <t>Contratistas Generales Sisten SRL</t>
  </si>
  <si>
    <t>Fecha Compra :</t>
  </si>
  <si>
    <t xml:space="preserve"> Dirección :</t>
  </si>
  <si>
    <t>A.H. NUEVA VICTORIA MZA. 26 LOTE. 19</t>
  </si>
  <si>
    <t>Boleta/Factura :</t>
  </si>
  <si>
    <t>E001-3514</t>
  </si>
  <si>
    <t xml:space="preserve"> Ciudad :</t>
  </si>
  <si>
    <t>MOQUEGUA-ILO-ILO</t>
  </si>
  <si>
    <t xml:space="preserve"> Teléfono :</t>
  </si>
  <si>
    <t>Firma :</t>
  </si>
  <si>
    <t>DGA452</t>
  </si>
  <si>
    <t xml:space="preserve"> Serie Nº : </t>
  </si>
  <si>
    <t>2092084Y</t>
  </si>
  <si>
    <t>Código</t>
  </si>
  <si>
    <t>Descripcion</t>
  </si>
  <si>
    <t>Cant.</t>
  </si>
  <si>
    <t>NO BORRAR</t>
  </si>
  <si>
    <t xml:space="preserve"> INFORME TECNICO DEL PROBLEMA </t>
  </si>
  <si>
    <t xml:space="preserve"> Cual es el Problema :</t>
  </si>
  <si>
    <t>BATERIA NO CARGA</t>
  </si>
  <si>
    <t xml:space="preserve"> A causa de que :</t>
  </si>
  <si>
    <t>FALLA INTERNA DE FABRICA</t>
  </si>
  <si>
    <t xml:space="preserve"> Sustente o comente, que el problema encontrado, es por fabricacion y no por un mal uso de la herramienta:</t>
  </si>
  <si>
    <t>SEGÚN EL ANALIZADOR, SE ENCONTRÓ QUE UNA DE LAS BATERÍAS NO PRESENTA SOBRECARGA, MIENTRAS QUE LA OTRA SÍ, CON UN VALOR DEL 15%. ASIMISMO, LAS BATERÍAS REGISTRAN POCAS CARGAS, LO QUE DEMUESTRA QUE EN SU HISTORIAL NO HAN SUFRIDO SOBRECARGAS CONSTANTES NI SOBREDESCARGAS. PROCEDE GARANTIA</t>
  </si>
  <si>
    <t xml:space="preserve"> NOMBRE MPE :</t>
  </si>
  <si>
    <t>V.B.</t>
  </si>
  <si>
    <t>FECHA:</t>
  </si>
  <si>
    <t xml:space="preserve"> Revision :</t>
  </si>
  <si>
    <t xml:space="preserve"> Rechazo :</t>
  </si>
  <si>
    <t xml:space="preserve"> Aprobacion :</t>
  </si>
  <si>
    <t xml:space="preserve"> Mano de obra :</t>
  </si>
  <si>
    <t xml:space="preserve"> NOTA: Todos los formularios que entraran para evaluacion, deveran ser enviados al correo de: serviciotecnicompe@makita.pe</t>
  </si>
  <si>
    <r>
      <rPr>
        <b/>
        <sz val="10"/>
        <color theme="1" tint="0.499984740745262"/>
        <rFont val="Calibri"/>
        <scheme val="minor"/>
      </rPr>
      <t>1 -</t>
    </r>
    <r>
      <rPr>
        <sz val="10"/>
        <color theme="1" tint="0.499984740745262"/>
        <rFont val="Calibri"/>
        <scheme val="minor"/>
      </rPr>
      <t xml:space="preserve"> Foto del numero de serie (Legible) ,  y Foto general de la maquina, de la cara donde esta la placa</t>
    </r>
  </si>
  <si>
    <t xml:space="preserve">2 - Foto de los repuestos solicitados con la comprobacion de la falla. </t>
  </si>
  <si>
    <t>3 - Foto que compruebe que es nueva la maquina o con poco uso, por ejemplo: La grasa, Carbones, Engranajes, Colector u otro.</t>
  </si>
  <si>
    <t>4- Comprobante de venta: (Factura, boleta, tiqueck...)</t>
  </si>
  <si>
    <r>
      <rPr>
        <b/>
        <sz val="10"/>
        <color theme="1" tint="0.499984740745262"/>
        <rFont val="Calibri"/>
        <scheme val="minor"/>
      </rPr>
      <t>Ponga aquí para Retail:</t>
    </r>
    <r>
      <rPr>
        <sz val="10"/>
        <color theme="1" tint="0.499984740745262"/>
        <rFont val="Calibri"/>
        <scheme val="minor"/>
      </rPr>
      <t xml:space="preserve"> Primero la Factura, y Debajo la OST o la Solicitud de Reclamo. </t>
    </r>
  </si>
  <si>
    <t>(Nota: Solo entraran en evaluacion los formularios de garantia, para las maquinas vendidas a cliente final, y no para las de exhibicion*)</t>
  </si>
  <si>
    <r>
      <rPr>
        <b/>
        <sz val="10"/>
        <color theme="1" tint="0.499984740745262"/>
        <rFont val="Calibri"/>
        <scheme val="minor"/>
      </rPr>
      <t>Ponga aquí para Garantia de repuestos:</t>
    </r>
    <r>
      <rPr>
        <sz val="10"/>
        <color theme="1" tint="0.499984740745262"/>
        <rFont val="Calibri"/>
        <scheme val="minor"/>
      </rPr>
      <t xml:space="preserve"> Primero Comprobante de la reparacion (Factura, boleta, tiqueck...),  y Debajo la Guia de recepcion de la maquina</t>
    </r>
  </si>
  <si>
    <t>(Nota: En el comprobante tiene que estar la siguiente informacion: el numero de serie de la placa y los codigos de los repuestos que habian fallado)</t>
  </si>
  <si>
    <r>
      <t xml:space="preserve">NOTA: NO ORDENA. LAS COLUMNAS DE ENCABEZADO ROJO SON LOS QUE VAN A USARSE EN EL FORMULARIO DE GARANTIA. </t>
    </r>
    <r>
      <rPr>
        <b/>
        <sz val="20"/>
        <rFont val="Arial"/>
      </rPr>
      <t>ACTUALIZADO EL 30-12-2024</t>
    </r>
  </si>
  <si>
    <t>RUC</t>
  </si>
  <si>
    <t>RAZON S.</t>
  </si>
  <si>
    <t>REGION</t>
  </si>
  <si>
    <t>PROVINCIA</t>
  </si>
  <si>
    <t>DISTRITO</t>
  </si>
  <si>
    <t>DIRECCION</t>
  </si>
  <si>
    <t>NOMBRE COMERCIAL</t>
  </si>
  <si>
    <t>TELEFONO</t>
  </si>
  <si>
    <t>CONTACTO</t>
  </si>
  <si>
    <t>CORREO 1</t>
  </si>
  <si>
    <t>CORREO 2</t>
  </si>
  <si>
    <t>ESPECIALIDAD</t>
  </si>
  <si>
    <t>DIST/STAM</t>
  </si>
  <si>
    <t>ESTADO</t>
  </si>
  <si>
    <t>F.CREACION</t>
  </si>
  <si>
    <t>FICHA RUC</t>
  </si>
  <si>
    <t>BANCO</t>
  </si>
  <si>
    <t>Nº DE CUENTA</t>
  </si>
  <si>
    <t>CCI</t>
  </si>
  <si>
    <t>REFERENCIA</t>
  </si>
  <si>
    <t>COORDENADAS</t>
  </si>
  <si>
    <t>10024216671</t>
  </si>
  <si>
    <t>MSA PROMOTOR INDUSTRIAL Y COMERCIAL MOISES CAYO PACHAURI</t>
  </si>
  <si>
    <t>PUNO</t>
  </si>
  <si>
    <t>SAN ROMAN</t>
  </si>
  <si>
    <t>JULIACA</t>
  </si>
  <si>
    <t>JR. SAN MARTIN 550, JULIACA</t>
  </si>
  <si>
    <t>MOISES CAYO PACHAURI</t>
  </si>
  <si>
    <t>MAIDA LUPO / MOISES CAYO</t>
  </si>
  <si>
    <t>moises_cayo_pachauri@hotmail.com</t>
  </si>
  <si>
    <t>ELECTRICO</t>
  </si>
  <si>
    <t>STAM</t>
  </si>
  <si>
    <t>EVALUACION</t>
  </si>
  <si>
    <t>FY111</t>
  </si>
  <si>
    <t>SI</t>
  </si>
  <si>
    <t>BCP</t>
  </si>
  <si>
    <t>405-19724174-0-95</t>
  </si>
  <si>
    <t>(REF. AL COSTADO DE CAJA HUANCAYO, A MEDIA CDRA. DE LA COMISARIA DE JULIACA)</t>
  </si>
  <si>
    <t>-15.493178, -70.128491</t>
  </si>
  <si>
    <t>10107235677</t>
  </si>
  <si>
    <t>NOLAZCO FELIX JOSE LUIS</t>
  </si>
  <si>
    <t>LIMA</t>
  </si>
  <si>
    <t>ATE</t>
  </si>
  <si>
    <t>AV. CARRETERA CENTRAL KM16.50, ATE</t>
  </si>
  <si>
    <t>981310248 / 917324463</t>
  </si>
  <si>
    <t>ROSA CRIOLLO</t>
  </si>
  <si>
    <t>st.nolazco@gmail.com</t>
  </si>
  <si>
    <t>VIGENTE</t>
  </si>
  <si>
    <t>194-24049062-0-80</t>
  </si>
  <si>
    <t>00219412404906208095</t>
  </si>
  <si>
    <t>(REF. A UNA CDRA. ANTES DE LLEGAR AL PARADERO HUAYCAN, ATE)</t>
  </si>
  <si>
    <t>-12.001203, -76.839918</t>
  </si>
  <si>
    <t>10107310067</t>
  </si>
  <si>
    <t>ORTIZ RAMIREZ JORGE ANIBAL</t>
  </si>
  <si>
    <t>LAMBAYEQUE</t>
  </si>
  <si>
    <t>CHICLAYO</t>
  </si>
  <si>
    <t>CAL. MANUEL SUAREZ 479, URB. SAN LUIS, CHICLAYO</t>
  </si>
  <si>
    <t>TECNICENTRO CHICLAYO</t>
  </si>
  <si>
    <t>074-222207 / 945968360</t>
  </si>
  <si>
    <t>YASURI GONZALES</t>
  </si>
  <si>
    <t>ventas.chiclayo@tecnicentroperu.pe</t>
  </si>
  <si>
    <t>ELECTRICO+COMBUSTION</t>
  </si>
  <si>
    <t>DIST+STAM</t>
  </si>
  <si>
    <t>305-2187272-0-63</t>
  </si>
  <si>
    <t>(REF. ALTURRA DE LA CDRA. 15 DE LUIS GONZALES)</t>
  </si>
  <si>
    <t>-6.7638065,-79.8413813</t>
  </si>
  <si>
    <t>10165337935</t>
  </si>
  <si>
    <t xml:space="preserve">CASTAÑEDA SALDAÑA WILSON </t>
  </si>
  <si>
    <t>AYACUCHO</t>
  </si>
  <si>
    <t>LUCANAS</t>
  </si>
  <si>
    <t>SANCOS</t>
  </si>
  <si>
    <t>PJE. SOTRAMI S/N - C.P. SANTA FILOMENA, SANCOS</t>
  </si>
  <si>
    <t>CASTAÑEDA SALDAÑA WILSON (MAKITA CENTER)</t>
  </si>
  <si>
    <t>WILSON CASTAÑEDA</t>
  </si>
  <si>
    <t>wicasalda@hotmail.com</t>
  </si>
  <si>
    <t>STAM MINERIA</t>
  </si>
  <si>
    <t>440-96260835089</t>
  </si>
  <si>
    <t>(FALTA INFO)</t>
  </si>
  <si>
    <t>-15.359473, -74.274456</t>
  </si>
  <si>
    <t>QUISPE PARI FREDY</t>
  </si>
  <si>
    <t>AREQUIPA</t>
  </si>
  <si>
    <t>AV. JESUS 100 C.C.DIVINO JESUS INT. 16, AREQUIPA</t>
  </si>
  <si>
    <t>SERVICIO TECNICO "EL CHARLY"</t>
  </si>
  <si>
    <t>935829261 / 959613059</t>
  </si>
  <si>
    <t>FREDY QUISPE</t>
  </si>
  <si>
    <t>fchquispe@hotmail.com</t>
  </si>
  <si>
    <t>215-25572892-0-99</t>
  </si>
  <si>
    <t>-16.4032578,-71.5165465</t>
  </si>
  <si>
    <t>10404097372</t>
  </si>
  <si>
    <t>YOVANA ZUÑIGA QUISPE</t>
  </si>
  <si>
    <t>DTP APURIMAC</t>
  </si>
  <si>
    <t>ANDAHUAYLAS</t>
  </si>
  <si>
    <t>AV. LAZARP CARRILLO 287, ANDAHUAYLAS</t>
  </si>
  <si>
    <t>MAQUINARIAS Y EQUIPOS ZUÑIGA</t>
  </si>
  <si>
    <t>983657676 / 998608850</t>
  </si>
  <si>
    <t>YOVANA ZUÑIGA</t>
  </si>
  <si>
    <t>zenobio.3007@gamil.com</t>
  </si>
  <si>
    <t>205-38376605-0-33</t>
  </si>
  <si>
    <t>002-205-138376605033-39</t>
  </si>
  <si>
    <t>-13.659619059703525, -73.39068265258378</t>
  </si>
  <si>
    <t>10407513407</t>
  </si>
  <si>
    <t>PAUCAR SANTIAGO WILDER</t>
  </si>
  <si>
    <t>JUNIN</t>
  </si>
  <si>
    <t>HUANCAYO</t>
  </si>
  <si>
    <t>JR. LORETO 682, HUANCAYO</t>
  </si>
  <si>
    <t>PS INGENIEROS</t>
  </si>
  <si>
    <t>WILDER PAUCAR</t>
  </si>
  <si>
    <t>ps.ingeniero@hotmail.com; servitec.ingenieros@hotmail.com</t>
  </si>
  <si>
    <t>servitec.ingenieros@hotmail.com</t>
  </si>
  <si>
    <t>SCOTIABANK</t>
  </si>
  <si>
    <t xml:space="preserve">6740353864 </t>
  </si>
  <si>
    <t>00967420674035386435</t>
  </si>
  <si>
    <t>(REF. ENTRE EL JR. LIBERTAD)</t>
  </si>
  <si>
    <t>-12.072125, -75.210097</t>
  </si>
  <si>
    <t>10421732812</t>
  </si>
  <si>
    <t>MURGA CERNA LAZARO IVAN</t>
  </si>
  <si>
    <t>CAJAMARCA</t>
  </si>
  <si>
    <t>JR. CHEPEN # 345, BARRIO SAN JOSE, CAJAMARCA</t>
  </si>
  <si>
    <t>IMC INVERSIONES - CAJAMARCA</t>
  </si>
  <si>
    <t>076-357959 / 938222416 / 986349476</t>
  </si>
  <si>
    <t>MURGA CERNA IVAN</t>
  </si>
  <si>
    <t>Imc_inversiones@hotmail.com</t>
  </si>
  <si>
    <t>245-71522247-0-19</t>
  </si>
  <si>
    <t>00224517152224701999</t>
  </si>
  <si>
    <t>(REF. CERCA AL JARDIN SARA MACDOUGALL)</t>
  </si>
  <si>
    <t>-7.1515519,-78.5212845</t>
  </si>
  <si>
    <t>20612160580</t>
  </si>
  <si>
    <t>GRUPO FENOR HERRAMIENTAS Y REPUESTOS S.A.C.</t>
  </si>
  <si>
    <t>HUAMANGA</t>
  </si>
  <si>
    <t>AV. RAMON CASTILLA 531, AYACUCHO</t>
  </si>
  <si>
    <t>MULTISERVICIOS SR DE CANICRUZ</t>
  </si>
  <si>
    <t>938458835 / 954850061</t>
  </si>
  <si>
    <t>FRITZ EULOGIO BONIFACIO</t>
  </si>
  <si>
    <t>estrellacasle@gmail.com</t>
  </si>
  <si>
    <t>22094474225010</t>
  </si>
  <si>
    <t>00222019447422501021</t>
  </si>
  <si>
    <t>(REF. A MEDIA CDRA ANTES DE LLEGAR AL PTE EJERCITO)</t>
  </si>
  <si>
    <t>-13.164261, -74.217998</t>
  </si>
  <si>
    <t>10426366911</t>
  </si>
  <si>
    <t>LOZANO HUAMAN EVA LUZ</t>
  </si>
  <si>
    <t>JR. PROTZEL 291</t>
  </si>
  <si>
    <t>MAQUIMARCEL</t>
  </si>
  <si>
    <t>066 633948 / 066 621022 / 966110536</t>
  </si>
  <si>
    <t>EVA LOZANO</t>
  </si>
  <si>
    <t>evalozanoh@hotmail.com</t>
  </si>
  <si>
    <t>(REF. A MEDIA CDRA DEL MERCADO MAGDALENA)</t>
  </si>
  <si>
    <t>-13.1586731,-74.2196126</t>
  </si>
  <si>
    <t>20101190227</t>
  </si>
  <si>
    <t>ELECTRO COMERCIAL INTI S.R.L.</t>
  </si>
  <si>
    <t>CERCADO DE LIMA</t>
  </si>
  <si>
    <t>JR. WASHINGTON 1509, CERCADO DE LIMA</t>
  </si>
  <si>
    <t>4243100 / 4331306 / 989987254 / 993 395 065</t>
  </si>
  <si>
    <t>SRTA CLAUDIA O MARIELA</t>
  </si>
  <si>
    <t>elcointi2@hotmail.com</t>
  </si>
  <si>
    <t>191-2492881-0-14</t>
  </si>
  <si>
    <t>00219100249288101452</t>
  </si>
  <si>
    <t>-12.060441008898772, -77.03901852561218</t>
  </si>
  <si>
    <t>20227395576</t>
  </si>
  <si>
    <t>EMPRESA DE INTERES LOCAL HIDROELECTRICA S.A. DE CHACAS</t>
  </si>
  <si>
    <t>ANCASH</t>
  </si>
  <si>
    <t>ASUNCION</t>
  </si>
  <si>
    <t>CHACAS</t>
  </si>
  <si>
    <t>JR. LIMA S/N, CHACAS</t>
  </si>
  <si>
    <t>EILHICHA S.A.</t>
  </si>
  <si>
    <t>043 837101 / 943139036</t>
  </si>
  <si>
    <t>LINO PRUNERI</t>
  </si>
  <si>
    <t>serviciotecnico@eilhicha.com</t>
  </si>
  <si>
    <t>1931898453091</t>
  </si>
  <si>
    <t>-9.163182, -77.365621</t>
  </si>
  <si>
    <t>20445625371</t>
  </si>
  <si>
    <t>MAQUICENTRO REMI S.R.L.</t>
  </si>
  <si>
    <t>SANTA</t>
  </si>
  <si>
    <t>CHIMBOTE</t>
  </si>
  <si>
    <t>AV. JOSE GALVEZ 278, CHIMBOTE</t>
  </si>
  <si>
    <t>994196092 / 946520952</t>
  </si>
  <si>
    <t>KENNY MANUEL PAREDES CASTILLO</t>
  </si>
  <si>
    <t>maq.remi@hotmail.com</t>
  </si>
  <si>
    <t>-9.076835675281705, -78.59021834132994</t>
  </si>
  <si>
    <t>20449280513</t>
  </si>
  <si>
    <t>INVERSIONES JODIMAC S.R.L.</t>
  </si>
  <si>
    <t>MOQUEGUA</t>
  </si>
  <si>
    <t>MARISCAL NIETO</t>
  </si>
  <si>
    <t>PROLONGACION ANCASH LT. 12 URB. EL GRAMADAL, MOQUEGUA</t>
  </si>
  <si>
    <t>053-635098 / 976943344 / 953636742</t>
  </si>
  <si>
    <t>JORGE ANDIA</t>
  </si>
  <si>
    <t>jodimacperu@hotmail.com</t>
  </si>
  <si>
    <t>430-1983103-0-76</t>
  </si>
  <si>
    <t>002-430001983103076-72</t>
  </si>
  <si>
    <t>(REF. FRENTE AL CASINO EL NARANJAL A UNA CUADRA DE LA UNIVERSIDAD NACIONAL DE MOQUEGUA; CERCA DE PLAZA VEA)</t>
  </si>
  <si>
    <t>-17.189186, -70.937618</t>
  </si>
  <si>
    <t>20453974163</t>
  </si>
  <si>
    <t>MECHANICAL WORLD SUR S.A.C.</t>
  </si>
  <si>
    <t>MZ. B LT. 43 URB. ALVAREZ THOMAS, AREQUIPA</t>
  </si>
  <si>
    <t>MEWOSUR S.A.C</t>
  </si>
  <si>
    <t>054-226093 / 958961590</t>
  </si>
  <si>
    <t>HILMAR MAMANI / MARIA VILCA</t>
  </si>
  <si>
    <t>serviciotecnicoaqp@mechanical.pe</t>
  </si>
  <si>
    <t>215-2045870-0-69</t>
  </si>
  <si>
    <t>002-215-002045870069-25</t>
  </si>
  <si>
    <t>(REF. POR EL CRUCE DE AV. VENEZUELA, CON AV. DOLORES)</t>
  </si>
  <si>
    <t>-16.409121, -71.527843</t>
  </si>
  <si>
    <t>20474318169</t>
  </si>
  <si>
    <t>FAST SERVICE AyM S.R.L.</t>
  </si>
  <si>
    <t>SAN BORJA</t>
  </si>
  <si>
    <t>AV. ANGAMOS ESTE 2425 URB TORRES DE LIMATAMBO, SAN BORJA</t>
  </si>
  <si>
    <t>FASAM S.R.L.</t>
  </si>
  <si>
    <t>01-2251388 / 998366678 / 994152404</t>
  </si>
  <si>
    <t>MARIANO MALAGA</t>
  </si>
  <si>
    <t>Mmalaga@fastserviceaym.com</t>
  </si>
  <si>
    <t>191-2171877-0-49</t>
  </si>
  <si>
    <t>00219100217187704954</t>
  </si>
  <si>
    <t>-12.111762, -77.005662</t>
  </si>
  <si>
    <t>20608299735</t>
  </si>
  <si>
    <t>MAQUIMAX.PE E.I.R.L.</t>
  </si>
  <si>
    <t>LA LIBERTAD</t>
  </si>
  <si>
    <t>TRUJILLO</t>
  </si>
  <si>
    <t>AV. CESAR VALLEJO 1084 ARANJUEZ, TRUJILLO</t>
  </si>
  <si>
    <t>MAQUIMAX</t>
  </si>
  <si>
    <t>044-427402 / 949642315 / 945010707</t>
  </si>
  <si>
    <t>WILDER REYES</t>
  </si>
  <si>
    <t>Serviciotecnico@quimicaperuana.pe</t>
  </si>
  <si>
    <t>570-9916412-0-51</t>
  </si>
  <si>
    <t>002-570-009916412051-03</t>
  </si>
  <si>
    <t>-8.104265, -79.012518</t>
  </si>
  <si>
    <t>20487194655</t>
  </si>
  <si>
    <t>MOIRA NEGOCIOS Y SERVICIOS S.R.L.</t>
  </si>
  <si>
    <t>SATIPO</t>
  </si>
  <si>
    <t>JR. JUNIN NRO. 231 URB. SATIPO, SATIPO</t>
  </si>
  <si>
    <t>MOIRA N&amp;S S.R.L.</t>
  </si>
  <si>
    <t>064 545074 / 995783787 / 964731999</t>
  </si>
  <si>
    <t>CEDRIC ALCANTARA</t>
  </si>
  <si>
    <t>cedric.lanyi@gmail.com</t>
  </si>
  <si>
    <t xml:space="preserve">5251834508-0-12 </t>
  </si>
  <si>
    <t>-11.2504425,-74.6371091</t>
  </si>
  <si>
    <t>20487858243</t>
  </si>
  <si>
    <t>R &amp; C SOLUCIONES ELECTRICAS S.R.L.</t>
  </si>
  <si>
    <t>JAEN</t>
  </si>
  <si>
    <t>PJE. LAS CIDRAS 124 JAEN CENTRO, JAEN</t>
  </si>
  <si>
    <t>YONIL RUIZ</t>
  </si>
  <si>
    <t>ryc_solucioneselectricas@outlook.com</t>
  </si>
  <si>
    <t>30506598587025</t>
  </si>
  <si>
    <t>00230510659858702514</t>
  </si>
  <si>
    <t>(REF. MITAD DE LA CDRA 2 DE ORELLANA)</t>
  </si>
  <si>
    <t>-5.7100766,-78.8114219</t>
  </si>
  <si>
    <t>20494382815</t>
  </si>
  <si>
    <t>KIMBERLY MOTORS E.I.R.L.</t>
  </si>
  <si>
    <t>ICA</t>
  </si>
  <si>
    <t>NASCA</t>
  </si>
  <si>
    <t>CAL. ARICA 108, 116, NAZCA</t>
  </si>
  <si>
    <t>KIMBERLY MOTORS</t>
  </si>
  <si>
    <t>056-324601 / 956946643</t>
  </si>
  <si>
    <t>MERY</t>
  </si>
  <si>
    <t>kimberlymotors@outlook.es</t>
  </si>
  <si>
    <t>(REF. DONDE ESTA LA TIENDA DE MARCA HONDA DEL PERU, ANTES DEL PUENTE VIEJO, A UNA CDRA. DE PLAZA DE ARMAS)</t>
  </si>
  <si>
    <t>-14.829344, -74.937215</t>
  </si>
  <si>
    <t>20495627722</t>
  </si>
  <si>
    <t>DISTRIBUIDORA FERRETERA LA UNION S.R.L</t>
  </si>
  <si>
    <t>JR. DEL BATAN 466, CAJAMARCA</t>
  </si>
  <si>
    <t>DF UNION S.R.L.</t>
  </si>
  <si>
    <t>076-776199 / 976957727 / 976668884</t>
  </si>
  <si>
    <t>JOSÉ WINTER SANGAY CHICLOTE</t>
  </si>
  <si>
    <t>servtecdflaunion@gmail.com</t>
  </si>
  <si>
    <t>245-1468107-0-09</t>
  </si>
  <si>
    <t>002-245-001468107009-91</t>
  </si>
  <si>
    <t>(REF. 5 DRAS ANTES DE LA PLAZA DE ARMAS)</t>
  </si>
  <si>
    <t>-7.153924443700108, -78.51542560985915</t>
  </si>
  <si>
    <t>20506437513</t>
  </si>
  <si>
    <t>EXPLORA PERU E.I.R.L.</t>
  </si>
  <si>
    <t>APURIMAC</t>
  </si>
  <si>
    <t>AYMARAES</t>
  </si>
  <si>
    <t>CHALHUANCA</t>
  </si>
  <si>
    <t>JR. LIMA S/N ESQUINA CON PANAMERICANA, CHALHUANCA</t>
  </si>
  <si>
    <t>998894886 / 995386213</t>
  </si>
  <si>
    <t>JOSE REYES</t>
  </si>
  <si>
    <t>exploraperu.pe@gmail.com</t>
  </si>
  <si>
    <t>1938446627062</t>
  </si>
  <si>
    <t>00219300844662706210</t>
  </si>
  <si>
    <t>-14.294097514270264, -73.24822120628318</t>
  </si>
  <si>
    <t>20506591431</t>
  </si>
  <si>
    <t>MECHANICAL WORLD S.A.C.</t>
  </si>
  <si>
    <t>SAN MIGUEL</t>
  </si>
  <si>
    <t>AV. ELMER FAUCETT 321 MARANGA, SAN MIGUEL</t>
  </si>
  <si>
    <t>4525127 / 998124650 / 924094483</t>
  </si>
  <si>
    <t>JIM GARCIA</t>
  </si>
  <si>
    <t>jgarcia@mechanical.pe</t>
  </si>
  <si>
    <t>-12.0680264,-77.0977869</t>
  </si>
  <si>
    <t>20512531751</t>
  </si>
  <si>
    <t>KVR3 SOCIEDAD ANONIMA CERRADA - KVR3 S.A.C.</t>
  </si>
  <si>
    <t>EL AGUSTINO</t>
  </si>
  <si>
    <t>AV. NICOLAS AYLLON 2355, EL AGUSTINO</t>
  </si>
  <si>
    <t>KVR3 SAC</t>
  </si>
  <si>
    <t>3263600 / 3472356 / 970363690</t>
  </si>
  <si>
    <t>CLAUDIA VARGAS</t>
  </si>
  <si>
    <t>Atencionalcliente@kvr3.pe</t>
  </si>
  <si>
    <t>-12.0615139,-76.9801814</t>
  </si>
  <si>
    <t>20518795466</t>
  </si>
  <si>
    <t>CONSTRUDECOR PERU S.A.C.</t>
  </si>
  <si>
    <t>INDEPENDENCIA</t>
  </si>
  <si>
    <t>CALLE LOS TORNOS 182</t>
  </si>
  <si>
    <t>994291572 / 982007592</t>
  </si>
  <si>
    <t>KAREN VILLANUEVA</t>
  </si>
  <si>
    <t>SERVICIOTECNICOCONSTRUDECORPERU@GMAIL.COM</t>
  </si>
  <si>
    <t>191-2609-162-0-71</t>
  </si>
  <si>
    <t>00219100260916207151</t>
  </si>
  <si>
    <t>-11.9791391,-77.0610876</t>
  </si>
  <si>
    <t>20519224683</t>
  </si>
  <si>
    <t>MUNDO CONSTRUCTOR S.A.C.</t>
  </si>
  <si>
    <t>VILLA EL SALVADOR</t>
  </si>
  <si>
    <t>CAL. EBANISTA MZ. I1 LT. 1 PARCELA 2, PARQUE INDUSTRIAL, VILLA EL SALVADOR</t>
  </si>
  <si>
    <t>MUNDO CONSTRUCTOR S.A.C</t>
  </si>
  <si>
    <t>2873438 / 936962833 / 994005644</t>
  </si>
  <si>
    <t>VANESSA RODARTE</t>
  </si>
  <si>
    <t>servicios@mundoconstructor.com.pe</t>
  </si>
  <si>
    <t>1931734585059</t>
  </si>
  <si>
    <t>00219300173458505912</t>
  </si>
  <si>
    <t>-12.201325, -76.932686</t>
  </si>
  <si>
    <t>20521289270</t>
  </si>
  <si>
    <t>ERANMIAL S.R.L</t>
  </si>
  <si>
    <t>S. J. DE LURIGANCHO</t>
  </si>
  <si>
    <t>AV. CANTO REY 502, SAN JUAN DE LURIGANCHO</t>
  </si>
  <si>
    <t>951555407 / 978778621</t>
  </si>
  <si>
    <t>ERNESTO VELASQUEZ</t>
  </si>
  <si>
    <t>operaciones@eranmial.com.pe</t>
  </si>
  <si>
    <t>1931790135070</t>
  </si>
  <si>
    <t>00219300179013507016</t>
  </si>
  <si>
    <t>-11.977211, -76.998739</t>
  </si>
  <si>
    <t>20521881217</t>
  </si>
  <si>
    <t>TOOLS HOME &amp; SERVICE S.A.C.</t>
  </si>
  <si>
    <t>SAN LUIS</t>
  </si>
  <si>
    <t>JR. FRANCISCO VIDAL DE LAOS 435, SAN LUIS</t>
  </si>
  <si>
    <t>TOOLS HOME</t>
  </si>
  <si>
    <t>323-3333 / 998272507</t>
  </si>
  <si>
    <t>CARLOS GUTIERRES</t>
  </si>
  <si>
    <t>servicio.toolshome@gmail.com; servicio@toolshome.pe</t>
  </si>
  <si>
    <t>servicio@toolshome.pe</t>
  </si>
  <si>
    <t>191-1832792-0-49</t>
  </si>
  <si>
    <t>002-191-001832792049-54</t>
  </si>
  <si>
    <t>-12.072173,-76.998761</t>
  </si>
  <si>
    <t>20523348451</t>
  </si>
  <si>
    <t>INVERSIONES LA BANCHERO S.A.C.</t>
  </si>
  <si>
    <t>SAN JUAN DE LURIGANCHO</t>
  </si>
  <si>
    <t>MZ. F, LT. 15 LOS ALAMOS, SAN JUAN DE LURIGANCHO</t>
  </si>
  <si>
    <t>INVERSIONES LA BANCHERO SAC</t>
  </si>
  <si>
    <t>01-3873647 / 989815391 / 984285423 / 970766061</t>
  </si>
  <si>
    <t>JOSE MONAGO</t>
  </si>
  <si>
    <t>inversioneslabanchero@hotmail.com</t>
  </si>
  <si>
    <t>1912163687022</t>
  </si>
  <si>
    <t>00219100216368702258</t>
  </si>
  <si>
    <t>(REF. FRENTE A LA ESTACION SANTA ROSA)</t>
  </si>
  <si>
    <t>-11.968254, -76.993924</t>
  </si>
  <si>
    <t>20523555759</t>
  </si>
  <si>
    <t>GMR INVERSIONES S.A.C.</t>
  </si>
  <si>
    <t>MZ A LT 9 URB BUENOS AIRES- SAN JUAN DE LURIGANCHO</t>
  </si>
  <si>
    <t>01-7044140 / 936080318 / 953100137</t>
  </si>
  <si>
    <t>YOSELIN HERNANDEZ</t>
  </si>
  <si>
    <t>servicio.tecnico@gmrinversiones.com.pe</t>
  </si>
  <si>
    <t>191-1913039-0-25</t>
  </si>
  <si>
    <t>-11.991847, -77.014880</t>
  </si>
  <si>
    <t>20525979602</t>
  </si>
  <si>
    <t>MECHANICAL WORLD PIURA S.A.C.</t>
  </si>
  <si>
    <t>PIURA</t>
  </si>
  <si>
    <t> LAS CAMELIAS  MZ. W LOTE 30  URB. MIRAFLORES   I ETAPA  PIURA.</t>
  </si>
  <si>
    <t>MECHANICAL STORE</t>
  </si>
  <si>
    <t>073-322818 / 978721961</t>
  </si>
  <si>
    <t>JORGE CHUQUIPOMA</t>
  </si>
  <si>
    <t>hector.rodriguez@mechanicalpiura.pe</t>
  </si>
  <si>
    <t>475-1808600-0-65</t>
  </si>
  <si>
    <t>002-475-001808600065-22</t>
  </si>
  <si>
    <t>-5.192102, -80.618621</t>
  </si>
  <si>
    <t>20527979189</t>
  </si>
  <si>
    <t>SERVICIO TECNICO DENIS EIRL</t>
  </si>
  <si>
    <t>CUSCO</t>
  </si>
  <si>
    <t>CUZCO</t>
  </si>
  <si>
    <t>WANCHAQ</t>
  </si>
  <si>
    <t>AV. LA PAZ 749, WANCHAQ</t>
  </si>
  <si>
    <t>SERVICIO TECNICO DENIS E.I.R.L.</t>
  </si>
  <si>
    <t>084-251684 / 985000853</t>
  </si>
  <si>
    <t>DENIS MAITA / DIONISIO MAITA</t>
  </si>
  <si>
    <t>serviciotecdenis@hotmail.com</t>
  </si>
  <si>
    <t>285-1623192-0-65</t>
  </si>
  <si>
    <t>-13.530422, -71.967766</t>
  </si>
  <si>
    <t>20534883588</t>
  </si>
  <si>
    <t>E.BARRETO SOLUCIONES S.A.C.</t>
  </si>
  <si>
    <t>CAL. JUAN MATTA 202, NASCA</t>
  </si>
  <si>
    <t>E. BARRETO SOLUCIONES S.A.C.</t>
  </si>
  <si>
    <t>056 523413 / 968121311</t>
  </si>
  <si>
    <t>ELIZABETH BARRETO</t>
  </si>
  <si>
    <t>ebarreto-soluciones1@hotmail.com</t>
  </si>
  <si>
    <t>(REF. A ESPLADAS DE LA AGENCIA FLORES)</t>
  </si>
  <si>
    <t>-14.827302, -74.945228</t>
  </si>
  <si>
    <t>10409524732</t>
  </si>
  <si>
    <t>José Alberto Mendoza Rojas</t>
  </si>
  <si>
    <t>CHINCHA</t>
  </si>
  <si>
    <t>CHINCHA ALTA</t>
  </si>
  <si>
    <t>CC NUEVO TACORA STAND 152/FRENTE AL COLEGIO ABRAHAM LINCOLN</t>
  </si>
  <si>
    <t xml:space="preserve">JOSÉ ALBERTO MENDOZA ROJAS </t>
  </si>
  <si>
    <t>sertecchinchay@gmail.com</t>
  </si>
  <si>
    <t>3154679516054</t>
  </si>
  <si>
    <t>00231500467951605401</t>
  </si>
  <si>
    <t>-13.421806,-76.133427</t>
  </si>
  <si>
    <t>20535848450</t>
  </si>
  <si>
    <t>NIRVANA COMPANY SERVICE S.A.C.</t>
  </si>
  <si>
    <t>SAN JUAN DE MIRAFLORES</t>
  </si>
  <si>
    <t xml:space="preserve">AV. DE LOS HEROES NRO. 900 URB. SAN JUAN ZN. D / SAN JUAN DE MIRAFLORES
</t>
  </si>
  <si>
    <t>MAKITA STORE PERÚ BY NIRVANA COMPANY SERVICE S.A.C.</t>
  </si>
  <si>
    <t>OMAR FIESTAS B. / LUZ VERA</t>
  </si>
  <si>
    <t>ventas@nirvana-company.com</t>
  </si>
  <si>
    <t>194-2106374-0-04</t>
  </si>
  <si>
    <t>002-194-002106374004-93</t>
  </si>
  <si>
    <t>-12.2013007,-76.9308844</t>
  </si>
  <si>
    <t>20536973215</t>
  </si>
  <si>
    <t>GRUPO CAHEMA S.A.C.</t>
  </si>
  <si>
    <t>SURQUILLO</t>
  </si>
  <si>
    <t>AV. ANGAMOS ESTE 2130, SURQUILLO</t>
  </si>
  <si>
    <t>01 2609802 / 998325498 / 981356839</t>
  </si>
  <si>
    <t>MARLEE CHOQUECAHUANA</t>
  </si>
  <si>
    <t>grupocahemasac@hotmail.com</t>
  </si>
  <si>
    <t>193-1848767-0-12</t>
  </si>
  <si>
    <t>002-193-001848767012-19</t>
  </si>
  <si>
    <t>-12.112336, -77.007493</t>
  </si>
  <si>
    <t>20537472562</t>
  </si>
  <si>
    <t>MECHANICAL WORLD CONO SUR S.A.C</t>
  </si>
  <si>
    <t>SURCO</t>
  </si>
  <si>
    <t>JR. VIÑA LARIENA MZ. A31, LT. 8, SANTIAGO DE SURCO</t>
  </si>
  <si>
    <t>MECHANICAL WORLD CONO SUR S.A.C.</t>
  </si>
  <si>
    <t>3960303 / 946456498</t>
  </si>
  <si>
    <t>ESTEFANIA ZUBIATE</t>
  </si>
  <si>
    <t>atencionlimasur@mechanical.pe</t>
  </si>
  <si>
    <t>194-2179262-0-46</t>
  </si>
  <si>
    <t>0011-0921-0200243541</t>
  </si>
  <si>
    <t>-12.173269, -76.996918</t>
  </si>
  <si>
    <t>20540087751</t>
  </si>
  <si>
    <t>MAKSERVICES TRUJILLO S.A.C</t>
  </si>
  <si>
    <t>AV. AMERICA SUR 1160, URB PALERMO, TRUJILLO</t>
  </si>
  <si>
    <t>MAKSERVICES TRUJILLO</t>
  </si>
  <si>
    <t>UBELSER MENDOZA / DAVID MENDOZA</t>
  </si>
  <si>
    <t>st-trujillo@makservicesperu.com</t>
  </si>
  <si>
    <t>570-208154-30-60</t>
  </si>
  <si>
    <t>00257000208154306006</t>
  </si>
  <si>
    <t>-8.111104, -79.013553</t>
  </si>
  <si>
    <t>DIST+STAM MINERIA</t>
  </si>
  <si>
    <t>20546163769</t>
  </si>
  <si>
    <t>GRUPO KALU S.A.C.</t>
  </si>
  <si>
    <t>COTABAMBAS</t>
  </si>
  <si>
    <t>COYLLURQUI (PAMPUTA)</t>
  </si>
  <si>
    <t>COMUNIDAD CAMPESINA S/N, COYLLURQUI</t>
  </si>
  <si>
    <t>LUIS VILCHEZ</t>
  </si>
  <si>
    <t>grupo.kalu@hotmail.com</t>
  </si>
  <si>
    <t>CONTINENTAL</t>
  </si>
  <si>
    <t>0011-0361-30-0200391822</t>
  </si>
  <si>
    <t>(REF. FRENTE A LA PLAZA DE PAMPUTA)</t>
  </si>
  <si>
    <t>-13.971135, -72.396409</t>
  </si>
  <si>
    <t>20546382649</t>
  </si>
  <si>
    <t>MUNDO MAQUINA ORE E.I.R.L.</t>
  </si>
  <si>
    <t>BARRANCA</t>
  </si>
  <si>
    <t>JR. JOSE OLAYA 266, BARRANCA</t>
  </si>
  <si>
    <t>MUNDO MAQUINA ORE</t>
  </si>
  <si>
    <t>953693346 / 987202902</t>
  </si>
  <si>
    <t>RONALD ORE ESCALANTE</t>
  </si>
  <si>
    <t>r.ore@mundomaquina.com.pe</t>
  </si>
  <si>
    <t>235-1973574-0-26</t>
  </si>
  <si>
    <t>00223500197357402608</t>
  </si>
  <si>
    <t>-10.749954, -77.759727</t>
  </si>
  <si>
    <t>20561407518</t>
  </si>
  <si>
    <t>TECNICAS PERUANAS S.A.C.</t>
  </si>
  <si>
    <t>JOSE LEONARDO ORTIZ</t>
  </si>
  <si>
    <t>CAL. TAHUANTINSUYO 1007, URB. SAN LORENZO, JOSE LEONARDO ORTIZ</t>
  </si>
  <si>
    <t>TECNICAS PERUANAS</t>
  </si>
  <si>
    <t>986384777 / 992869440</t>
  </si>
  <si>
    <t>NORMA CASTAÑEDA</t>
  </si>
  <si>
    <t>tecnikaspe@gmail.com</t>
  </si>
  <si>
    <t>4408738516080</t>
  </si>
  <si>
    <t>00244000873851608066</t>
  </si>
  <si>
    <t>(REF. A UNA CDRA. DEL TEMPLO DE LOS MORMONES)</t>
  </si>
  <si>
    <t>-6.760580707765693, -79.8420775585291</t>
  </si>
  <si>
    <t>20564412989</t>
  </si>
  <si>
    <t>PUMA CENTER S.C.R.L.</t>
  </si>
  <si>
    <t>CANCHIS</t>
  </si>
  <si>
    <t>SICUANI</t>
  </si>
  <si>
    <t>MALECON TECHO OBRERO N° 70, SICUANI</t>
  </si>
  <si>
    <t>PUMA HOME CENTER</t>
  </si>
  <si>
    <t>084-351545</t>
  </si>
  <si>
    <t>ERACLIO ORUE</t>
  </si>
  <si>
    <t>serviciotecnico@pumahomecenter.com</t>
  </si>
  <si>
    <t>-14.280632, -71.227920</t>
  </si>
  <si>
    <t>20600099257</t>
  </si>
  <si>
    <t>SERVICIOS ZETA GAMUS E.I.R.L.</t>
  </si>
  <si>
    <t>VEINTISEIS DE OCTUBRE</t>
  </si>
  <si>
    <t>AV. CIRCUNVALACION MZ. I4 LT. 21, VEINTISEIS DE OCTUBRE</t>
  </si>
  <si>
    <t>FAST MOTORS</t>
  </si>
  <si>
    <t>JOAN GAONA</t>
  </si>
  <si>
    <t>fastmotors_central@outlook.com</t>
  </si>
  <si>
    <t>-5.188612, -80.667536</t>
  </si>
  <si>
    <t>20600407148</t>
  </si>
  <si>
    <t>MAQUICASA E.I.R.L.</t>
  </si>
  <si>
    <t>JR. WASHINGTON NRO. 1698</t>
  </si>
  <si>
    <t>4312039 / 998889720</t>
  </si>
  <si>
    <t>ARTURO CASTAÑEDA ALEGRIA</t>
  </si>
  <si>
    <t>ventas@maquicasaperu.com</t>
  </si>
  <si>
    <t>(REF. CERCA AL POLICLINICO CHINCA SEGURO SOCIAL)</t>
  </si>
  <si>
    <t>-12.062016, -77.039005</t>
  </si>
  <si>
    <t>20600774345</t>
  </si>
  <si>
    <t>CONGLOMERADO INNOVATEC PERU E.I.R.L.</t>
  </si>
  <si>
    <t>JR LA REVOLUCION 193, JULIACA</t>
  </si>
  <si>
    <t>CONGLOMERADO INNOVATEC PERU E.I.R.L (Innovatec maquinarias)</t>
  </si>
  <si>
    <t>977410743 / 988999948</t>
  </si>
  <si>
    <t>JHON CASTILLO</t>
  </si>
  <si>
    <t>Innovatekp@hotmail.com</t>
  </si>
  <si>
    <t>405-2321542-0-27</t>
  </si>
  <si>
    <t>00240500232154202796</t>
  </si>
  <si>
    <t>-15.4895397,-70.1331473</t>
  </si>
  <si>
    <t>20601045045</t>
  </si>
  <si>
    <t>CONSORCIO AACV S.A.C.</t>
  </si>
  <si>
    <t>CHORRILLOS</t>
  </si>
  <si>
    <t>AV. GUARDIA CIVIL 631, CHORRILLOS</t>
  </si>
  <si>
    <t>3895794 / 981585814</t>
  </si>
  <si>
    <t>JHON CAÑAHUA</t>
  </si>
  <si>
    <t>servicio.makita@consorcioaacv.com</t>
  </si>
  <si>
    <t>194-2464712-0-79</t>
  </si>
  <si>
    <t>002-194-002464712079-99</t>
  </si>
  <si>
    <t>-12.17962,-76.99778</t>
  </si>
  <si>
    <t>20601350417</t>
  </si>
  <si>
    <t>TAYM INVERSIONES &amp; ASESORIA INTEGRAL S.A.C.</t>
  </si>
  <si>
    <t>CAL. MANUEL FERREYROS S/N, MZ. C, LT. 17, SAN MIGUEL</t>
  </si>
  <si>
    <t>TAYM S.A.C.</t>
  </si>
  <si>
    <t>502-8140 / 942478318</t>
  </si>
  <si>
    <t>ALAN YZAZIGA</t>
  </si>
  <si>
    <t>serviciotecnico@taymsac.pe</t>
  </si>
  <si>
    <t>19399532167040</t>
  </si>
  <si>
    <t>002193199532167040018</t>
  </si>
  <si>
    <t>-12.069345, -77.103041</t>
  </si>
  <si>
    <t>20601646588</t>
  </si>
  <si>
    <t>COMERCIOS MAQUIHER E.I.R.L.</t>
  </si>
  <si>
    <t>PISCO</t>
  </si>
  <si>
    <t>CAL. COMERCIO 450, PISCO</t>
  </si>
  <si>
    <t>51 981 027 976</t>
  </si>
  <si>
    <t>EUGENIO QUISPE</t>
  </si>
  <si>
    <t>maquiher@hotmail.com</t>
  </si>
  <si>
    <t>-13.713341, -76.203858</t>
  </si>
  <si>
    <t>20602222749</t>
  </si>
  <si>
    <t>QUICK TOOLS E.I.R.L.</t>
  </si>
  <si>
    <t>SAN MARTIN DE PORRES</t>
  </si>
  <si>
    <t xml:space="preserve">MZ. D, LT 102, ASOC. SAN JUAN DE DIOS 1 ETAPA </t>
  </si>
  <si>
    <t>993263550 / 957917803</t>
  </si>
  <si>
    <t>FREDY CARRASCAL / LUIS LARCO</t>
  </si>
  <si>
    <t>quick.toolsmakita@gmail.com</t>
  </si>
  <si>
    <t>191-38248563-0-10</t>
  </si>
  <si>
    <t>00219113824856301058</t>
  </si>
  <si>
    <t>CDRA 36; ENTRE IZAGUIRRE Y ANTUNES DE MAYOLO</t>
  </si>
  <si>
    <t>-11.993674, -77.083814</t>
  </si>
  <si>
    <t>20602326765</t>
  </si>
  <si>
    <t>INVERSIONES HAMMERCOM S.C.R.L.</t>
  </si>
  <si>
    <t>HUANUCO</t>
  </si>
  <si>
    <t>AMARILIS</t>
  </si>
  <si>
    <t>AV. MARCOS DURAN MARTEL 205</t>
  </si>
  <si>
    <t>927391320 / 967803731</t>
  </si>
  <si>
    <t>DANIEL POZO / WILSON CAYCO</t>
  </si>
  <si>
    <t>FEYCOMTEC@HOTMAIL.COM</t>
  </si>
  <si>
    <t>3652638270059</t>
  </si>
  <si>
    <t>00236500263827005954</t>
  </si>
  <si>
    <t>-9.934877, -76.236538</t>
  </si>
  <si>
    <t>20602909396</t>
  </si>
  <si>
    <t>MAKISERTEC E.I.R.L.</t>
  </si>
  <si>
    <t>AV. MICAELA BASTIDA MZ "D" LT "21" CENTRO POBLADO SANTA FILOMENA, LUCANAS</t>
  </si>
  <si>
    <t>MULTI SERVICIOS SHADDAI</t>
  </si>
  <si>
    <t>942322837 / 987333320</t>
  </si>
  <si>
    <t>ANTONIO INCA</t>
  </si>
  <si>
    <t>makisertec@gmail.com</t>
  </si>
  <si>
    <t>1919901766036</t>
  </si>
  <si>
    <t>00219100990176603658</t>
  </si>
  <si>
    <t>-15.360593, -74.274965</t>
  </si>
  <si>
    <t>20603189834</t>
  </si>
  <si>
    <t>GLOBAL SERVICORP E.I.R.L.</t>
  </si>
  <si>
    <t>AV. ARGENTINA 308, INT. 276 CC. LA BELLOTA II, CERCADO DE LIMA</t>
  </si>
  <si>
    <t>GLOBALSERVICORP E.I.R.L.</t>
  </si>
  <si>
    <t>01-7825024 / 941706400</t>
  </si>
  <si>
    <t>OSCAR RIOS</t>
  </si>
  <si>
    <t>globalservicorp.peru@gmail.com</t>
  </si>
  <si>
    <t>INTERBANK</t>
  </si>
  <si>
    <t>2003005335696</t>
  </si>
  <si>
    <t>00320000300533569637</t>
  </si>
  <si>
    <t>-12.042723, -77.045676</t>
  </si>
  <si>
    <t>20604254958</t>
  </si>
  <si>
    <t>MEGA TOOLS SERVICE E.I.R.L.</t>
  </si>
  <si>
    <t>HUAURA</t>
  </si>
  <si>
    <t>HUACHO</t>
  </si>
  <si>
    <t>JR ATAHUALPA 229</t>
  </si>
  <si>
    <t>JERSSON</t>
  </si>
  <si>
    <t>service@megatools.com.pe</t>
  </si>
  <si>
    <t>3352557959005</t>
  </si>
  <si>
    <t>00233500255795900587</t>
  </si>
  <si>
    <t>(AL COSTADO DE CAJA PRYMERA)</t>
  </si>
  <si>
    <t>-11.1073916, -77.6046113</t>
  </si>
  <si>
    <t>20605338110</t>
  </si>
  <si>
    <t>EL GRAN SHADDAI E.I.R.L.</t>
  </si>
  <si>
    <t>CARAVELI</t>
  </si>
  <si>
    <t>CHALA</t>
  </si>
  <si>
    <t>AAHH. PRADO AV. EMANCIPACION MZ. 51, LT. 2F, CHALA</t>
  </si>
  <si>
    <t>EL GRAN SHADDAI</t>
  </si>
  <si>
    <t>elgranshadday@gmail.com</t>
  </si>
  <si>
    <t>1918745239045</t>
  </si>
  <si>
    <t>00219100874523904550</t>
  </si>
  <si>
    <t>-15.850111, -74.254604</t>
  </si>
  <si>
    <t>20606393505</t>
  </si>
  <si>
    <t>FLOWERS GROUP SERVICE SRL</t>
  </si>
  <si>
    <t>LORETO</t>
  </si>
  <si>
    <t>MAYNAS</t>
  </si>
  <si>
    <t>IQUITOS (NUEVO: BELEN)</t>
  </si>
  <si>
    <t>AV GARCIA SAENZ 254</t>
  </si>
  <si>
    <t>FLOWERS GROUP SERVICE S.R.L.</t>
  </si>
  <si>
    <t>918615261 / 900834560</t>
  </si>
  <si>
    <t>MOISÉS FLORES</t>
  </si>
  <si>
    <t>services_ag2011@hotmail.com</t>
  </si>
  <si>
    <t>-3.7597643,-73.2514892</t>
  </si>
  <si>
    <t>20606974401</t>
  </si>
  <si>
    <t>LA BIELA ROTA SAC</t>
  </si>
  <si>
    <t>EL TAMBO</t>
  </si>
  <si>
    <t>AV. MARISCAL CASTILLA N 1378</t>
  </si>
  <si>
    <t>LA BIELA ROTA (HUANCAYO)</t>
  </si>
  <si>
    <t>RAUL</t>
  </si>
  <si>
    <t>la_biela_rota@outlook.com</t>
  </si>
  <si>
    <t>5003004808118</t>
  </si>
  <si>
    <t>-12.055854, -75.219908</t>
  </si>
  <si>
    <t>20454012195</t>
  </si>
  <si>
    <t>INTERMAC SRL</t>
  </si>
  <si>
    <t>AV. PARRA 99B</t>
  </si>
  <si>
    <t xml:space="preserve">INTERMAC </t>
  </si>
  <si>
    <t>959924870 / 932272090 / 054 220930</t>
  </si>
  <si>
    <t>ALVARO DELGADO / JORGE VALDERRAMA</t>
  </si>
  <si>
    <t>negociosintermac@gmail.com</t>
  </si>
  <si>
    <t>215-1500333-0-95</t>
  </si>
  <si>
    <t>002-215-001500333095-26</t>
  </si>
  <si>
    <t>(REF. A MEDIA CDRA MAS ABAJO DEL INSTITUTO DEL SUR / FRENTE AL CASINO MILITAR)</t>
  </si>
  <si>
    <t>-16.406232028982803, -71.54058141881117</t>
  </si>
  <si>
    <t>20607464091</t>
  </si>
  <si>
    <t>TOOLSTORE SEMIN S.A.C.</t>
  </si>
  <si>
    <t>JOSE LUIS BUSTAMANTE Y RIVERO</t>
  </si>
  <si>
    <t>CALLE COLON 142-C</t>
  </si>
  <si>
    <t>VICTOR LAZO</t>
  </si>
  <si>
    <t>toolstoresemin@gmail.com</t>
  </si>
  <si>
    <t>300-3003143231</t>
  </si>
  <si>
    <t>003-300-003003143231-10</t>
  </si>
  <si>
    <t>(REF. ANTES DE LLEGAR AL COLEGIO INNOVA SCHOOL)</t>
  </si>
  <si>
    <t>-16.43759578057298, -71.50727332040103</t>
  </si>
  <si>
    <t>20529114355</t>
  </si>
  <si>
    <t>MULTISERVICIOS WINNERS EIRL</t>
  </si>
  <si>
    <t xml:space="preserve">PASCO </t>
  </si>
  <si>
    <t>PASCO</t>
  </si>
  <si>
    <t>SIMON BOLIVAR</t>
  </si>
  <si>
    <t>JR. 28 DE JULIO 100 (CENTRO POBLADO DE PARAGIA)</t>
  </si>
  <si>
    <t xml:space="preserve">MULTISERVICIOS WINNERS </t>
  </si>
  <si>
    <t>SR FRANK CERNA ESPINOZA</t>
  </si>
  <si>
    <t>frank1093@hotmail.com</t>
  </si>
  <si>
    <t>(REF. EN OVALO DE PARAGIA)</t>
  </si>
  <si>
    <t>-10.673315894932545, -76.26682718673872</t>
  </si>
  <si>
    <t>20532823774</t>
  </si>
  <si>
    <t>GT GLOBAL TOOLS S.R.L.</t>
  </si>
  <si>
    <t>TACNA</t>
  </si>
  <si>
    <t>AV. CUZCO, URB LA VIRREYNA, MZ. A, LT. 4</t>
  </si>
  <si>
    <t>GLOBAL TOOLS</t>
  </si>
  <si>
    <t>RONI MAMANI ORCO</t>
  </si>
  <si>
    <t>gt.globla.servicio@gmail.com</t>
  </si>
  <si>
    <t>540-2209573-0-63</t>
  </si>
  <si>
    <t>00254000220957306330</t>
  </si>
  <si>
    <t>(REF.  A 3 CUADRAS DE PLAZA VEA)</t>
  </si>
  <si>
    <t>-18.022653333170194, -70.25238049646897</t>
  </si>
  <si>
    <t>20606071974</t>
  </si>
  <si>
    <t>JC &amp; S MAQUINARIAS Y REPARACIONES S.A.C.</t>
  </si>
  <si>
    <t>PUENTE PIEDRA</t>
  </si>
  <si>
    <t xml:space="preserve">AV. BUENOS AIRES MZ E LT 13 ASO ASOCIACION MICAELA BASTIDAS PTE PIEDRA - OVALO ZAPALLAS </t>
  </si>
  <si>
    <t>JC&amp;S</t>
  </si>
  <si>
    <t>FRANYA CONTRERAS</t>
  </si>
  <si>
    <t>sta_makita@jcysmaquinarias.com</t>
  </si>
  <si>
    <t>194-7530062-0-31</t>
  </si>
  <si>
    <t>00219400753006203199</t>
  </si>
  <si>
    <t>(REF. Entre paradero escuela de oficiales y paradero establo)</t>
  </si>
  <si>
    <t>-11.8931443, -77.0683276</t>
  </si>
  <si>
    <t>20608981552</t>
  </si>
  <si>
    <t>TECSER INVERSIONES EIRL.</t>
  </si>
  <si>
    <t>AV. DIAGONAL ANGAMOS 2048, URB. SANTA BEATRIZ, WANCHAQ</t>
  </si>
  <si>
    <t>TECSER PERU</t>
  </si>
  <si>
    <t>973142428/ 914223957</t>
  </si>
  <si>
    <t>DIEGO QUISPE</t>
  </si>
  <si>
    <t>tecser.inversiones@hotmail.com</t>
  </si>
  <si>
    <t>0011-0083-0100014230</t>
  </si>
  <si>
    <t>011083000100014230-35</t>
  </si>
  <si>
    <t>(REF. AL COSTADO DEL CONSECIONARIO DE AUTOS RENOLD)</t>
  </si>
  <si>
    <t>-13.526454, -71.953369</t>
  </si>
  <si>
    <t>10457128300</t>
  </si>
  <si>
    <t>ÑIQUIN GRAUS JUAN HENRY</t>
  </si>
  <si>
    <t>CAJABAMBA</t>
  </si>
  <si>
    <t>JR SAN LORENZO S/N - REFERENCIA PUENTE INGENIEROS FRENTE A CAXAGAS</t>
  </si>
  <si>
    <t>LA CASA DE LA MAQUINA</t>
  </si>
  <si>
    <t>940136228/974211750</t>
  </si>
  <si>
    <t>JUAN HENRY ÑIQUIN GRAUS/LUIS RAMONÑIQUIN GRAUS</t>
  </si>
  <si>
    <t>lacasadelamaquina01@gmail.com</t>
  </si>
  <si>
    <t>6003141530610</t>
  </si>
  <si>
    <t>003600013141530610</t>
  </si>
  <si>
    <t>-7.613228, -78.053626</t>
  </si>
  <si>
    <t>10406543612</t>
  </si>
  <si>
    <t>MARCOS MIGUEL GUARDIA YAUYO</t>
  </si>
  <si>
    <t>LA MOLINA</t>
  </si>
  <si>
    <t>AV. LOS CHANCAS MZ. K LT. 41 ASOC. LOS PINOS STA ANITA</t>
  </si>
  <si>
    <t>DAAT SERVICE</t>
  </si>
  <si>
    <t>MARCOS GUARDIA / DIEGO GUARDIA</t>
  </si>
  <si>
    <t>marcosgy1918@gmail.com</t>
  </si>
  <si>
    <t>194-97143036-0-77</t>
  </si>
  <si>
    <t>-12.035101, -76.957488</t>
  </si>
  <si>
    <t>20495122108</t>
  </si>
  <si>
    <t>EQUIPOS Y HERRAMIENTAS SAC</t>
  </si>
  <si>
    <t>AV. JUAN JOSE ELIAS MZ L- LT 10 (REF CRUCE ELIAS CON CALLE CHICLAYO)</t>
  </si>
  <si>
    <t>DIMAS LLAMOCA RODRIGUEZ</t>
  </si>
  <si>
    <t>ventas.equipo.ica@hotmail.com</t>
  </si>
  <si>
    <t>380-1927821-0-21</t>
  </si>
  <si>
    <t>00238000192782102146</t>
  </si>
  <si>
    <t>10295495753</t>
  </si>
  <si>
    <t>RICARDO RAUL MONTESINOS CALLA</t>
  </si>
  <si>
    <t>JR. FRANCISCO MORENO NRO. 501</t>
  </si>
  <si>
    <t>RICARDO MONTESINOS</t>
  </si>
  <si>
    <t>rmontesinos@spedimaq.com ; jcastillo@spedimaq.com</t>
  </si>
  <si>
    <t>194-77567985-0-97</t>
  </si>
  <si>
    <t>20605905031</t>
  </si>
  <si>
    <t>JYN HERMANOS</t>
  </si>
  <si>
    <t>OXAPAMPA</t>
  </si>
  <si>
    <t>JR. INDEPENDECIA CUADRA 7 ESQUINA CON JR. FREY</t>
  </si>
  <si>
    <t>PAUL FLORES TABORI</t>
  </si>
  <si>
    <t>jynhermanos2@gmail.com</t>
  </si>
  <si>
    <t>445-2659806-0-74</t>
  </si>
  <si>
    <t>00244500265980607452</t>
  </si>
  <si>
    <t>20610514821</t>
  </si>
  <si>
    <t>SERVISOLUCIONES PERU EIRL</t>
  </si>
  <si>
    <t>AV. RICARDO PALMA NRO. 429 INT. 3 URB. PALERMO ET. 3</t>
  </si>
  <si>
    <t>950425503 / 966058042</t>
  </si>
  <si>
    <t>CARLOS TRIGOSO / ROXANA LUJAN</t>
  </si>
  <si>
    <t>SERVISOLUCIONES.PERU@GMAIL.COM</t>
  </si>
  <si>
    <t>20606837969</t>
  </si>
  <si>
    <t>CORPORACION &amp; SERVICIOS DAVID SOCIEDAD COMERCIAL DE RESPONSABILIDAD LIMITADA-CORP &amp; SERV DAVID S.R.L</t>
  </si>
  <si>
    <t>AV. EMANCIPACIÓN MZA. 32 LOTE. 14B A.H. MANUEL PRADO</t>
  </si>
  <si>
    <t>960368198 / 989309828</t>
  </si>
  <si>
    <t>IRWIN DE LA CRUZ</t>
  </si>
  <si>
    <t>DAVIDCORPYSERVICIOS@GMAIL.COM</t>
  </si>
  <si>
    <t>20610613749</t>
  </si>
  <si>
    <t>I TOOL STORE</t>
  </si>
  <si>
    <t>JR. ATAHUALPA NRO. 229 (JR. ATAHUALPA - CRUCE ADAN ACEVEDO</t>
  </si>
  <si>
    <t xml:space="preserve">OSWALDO MIGUEL NOEL ROMAN        </t>
  </si>
  <si>
    <t>oswaldo.noel@gmail.com; SERVICE@ITOOLS.PE</t>
  </si>
  <si>
    <t>20541514466</t>
  </si>
  <si>
    <t>FIVCO MAQUINAS Y HERRAMIENTAS SAC</t>
  </si>
  <si>
    <t>JR RICARDO PALMA 470</t>
  </si>
  <si>
    <t>CORPORACION FIVCO</t>
  </si>
  <si>
    <t>Paul Huaman</t>
  </si>
  <si>
    <t>Technic.makita@fivco.com.pe</t>
  </si>
  <si>
    <t>10455246895</t>
  </si>
  <si>
    <t>JEAN MUÑOZ MAYCO MICHEL</t>
  </si>
  <si>
    <t>AV LOS VIRREYES MZ D LOTE 20 URB. FORTALEZA ATE</t>
  </si>
  <si>
    <t>MJ TOOLS SERVICES</t>
  </si>
  <si>
    <t>Mayco Jean</t>
  </si>
  <si>
    <t>mjtoolsservice2@gmail.com</t>
  </si>
  <si>
    <t>20515100548</t>
  </si>
  <si>
    <t>MAKITA PERU S.A.</t>
  </si>
  <si>
    <t>LURIN</t>
  </si>
  <si>
    <t>CAR. NUEVA PANAMERICANA SUR KM. 29 Z.I. ZONA INDUSTRIAL LURIN - M</t>
  </si>
  <si>
    <t>MAKITA PERU</t>
  </si>
  <si>
    <t>946 422 767 / 950 901 663</t>
  </si>
  <si>
    <t>20603065108</t>
  </si>
  <si>
    <t>DACA CORPORACION S.A.C.</t>
  </si>
  <si>
    <t>CERRO COLORADO</t>
  </si>
  <si>
    <t>CC Las Malvinas del Sur - Vía Yura Km 9, Arequipa</t>
  </si>
  <si>
    <t>DACA CORPORACION</t>
  </si>
  <si>
    <t>957 770 751 - 994 343 425</t>
  </si>
  <si>
    <t>PILAR COSSIO-ADMINISTRADORA</t>
  </si>
  <si>
    <t>pcossio@daca.pe</t>
  </si>
  <si>
    <t>20455576181</t>
  </si>
  <si>
    <t>HERRAMIENTAS MINERAS S.R.L.</t>
  </si>
  <si>
    <t>MZA. I LOTE. 5 OTR. ASOCIACION VIVIENDA PERUA</t>
  </si>
  <si>
    <t>20476580120</t>
  </si>
  <si>
    <t>AUTOBEL S.A.C.</t>
  </si>
  <si>
    <t>LA VICTORIA</t>
  </si>
  <si>
    <t>JR. BELGICA NRO. 666</t>
  </si>
  <si>
    <t>20603393920</t>
  </si>
  <si>
    <t>M&amp;N AQP ELECTROMECANIC EIRL</t>
  </si>
  <si>
    <t>Urb Cabaña Maria B-8</t>
  </si>
  <si>
    <t xml:space="preserve">932061604 / 931329873        </t>
  </si>
  <si>
    <t>MPE26-425</t>
  </si>
  <si>
    <t>632G12-3</t>
  </si>
  <si>
    <t>BATERIA 18V LXT 3.0 Ah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</si>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</sst>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.&quot;\ #,##0.00"/>
    <numFmt numFmtId="165" formatCode="&quot;S/.&quot;\ #,##0.0"/>
    <numFmt numFmtId="166" formatCode="dd/mm/yyyy;@"/>
  </numFmts>
  <fonts count="49" x14ac:knownFonts="1">
    <font>
      <sz val="10"/>
      <name val="Arial"/>
    </font>
    <font>
      <u/>
      <sz val="10"/>
      <color theme="10"/>
      <name val="Arial"/>
    </font>
    <font>
      <u/>
      <sz val="11"/>
      <color theme="10"/>
      <name val="Calibri"/>
      <scheme val="minor"/>
    </font>
    <font>
      <sz val="10"/>
      <name val="Calibri"/>
      <scheme val="minor"/>
    </font>
    <font>
      <i/>
      <sz val="10"/>
      <name val="Calibri"/>
      <scheme val="minor"/>
    </font>
    <font>
      <b/>
      <i/>
      <sz val="10"/>
      <name val="Calibri"/>
      <scheme val="minor"/>
    </font>
    <font>
      <i/>
      <sz val="8"/>
      <name val="Calibri"/>
      <scheme val="minor"/>
    </font>
    <font>
      <b/>
      <i/>
      <sz val="11"/>
      <name val="Calibri"/>
      <scheme val="minor"/>
    </font>
    <font>
      <sz val="10.5"/>
      <name val="Calibri"/>
      <scheme val="minor"/>
    </font>
    <font>
      <sz val="11"/>
      <name val="Calibri"/>
      <scheme val="minor"/>
    </font>
    <font>
      <b/>
      <sz val="12"/>
      <name val="Calibri"/>
      <scheme val="minor"/>
    </font>
    <font>
      <i/>
      <sz val="10"/>
      <color theme="0"/>
      <name val="Calibri"/>
      <scheme val="minor"/>
    </font>
    <font>
      <b/>
      <i/>
      <sz val="11"/>
      <color theme="0"/>
      <name val="Calibri"/>
      <scheme val="minor"/>
    </font>
    <font>
      <b/>
      <sz val="10"/>
      <name val="Arial"/>
    </font>
    <font>
      <i/>
      <sz val="11"/>
      <name val="Calibri"/>
      <scheme val="minor"/>
    </font>
    <font>
      <i/>
      <sz val="10"/>
      <color theme="0" tint="-0.499984740745262"/>
      <name val="Calibri"/>
      <scheme val="minor"/>
    </font>
    <font>
      <i/>
      <sz val="12"/>
      <name val="Calibri"/>
      <scheme val="minor"/>
    </font>
    <font>
      <b/>
      <sz val="21"/>
      <name val="Calibri"/>
      <scheme val="minor"/>
    </font>
    <font>
      <b/>
      <i/>
      <sz val="14"/>
      <name val="Calibri"/>
      <scheme val="minor"/>
    </font>
    <font>
      <b/>
      <sz val="13"/>
      <name val="Calibri"/>
      <scheme val="minor"/>
    </font>
    <font>
      <b/>
      <sz val="16"/>
      <name val="Calibri"/>
      <scheme val="minor"/>
    </font>
    <font>
      <b/>
      <sz val="11"/>
      <name val="Calibri"/>
      <scheme val="minor"/>
    </font>
    <font>
      <i/>
      <sz val="14"/>
      <name val="Calibri"/>
      <scheme val="minor"/>
    </font>
    <font>
      <b/>
      <sz val="14"/>
      <name val="Arial"/>
    </font>
    <font>
      <b/>
      <sz val="10"/>
      <name val="Calibri"/>
      <scheme val="minor"/>
    </font>
    <font>
      <sz val="13"/>
      <color theme="0"/>
      <name val="Calibri"/>
      <scheme val="minor"/>
    </font>
    <font>
      <b/>
      <sz val="13"/>
      <color theme="0"/>
      <name val="Calibri"/>
      <scheme val="minor"/>
    </font>
    <font>
      <sz val="12"/>
      <name val="Calibri"/>
      <scheme val="minor"/>
    </font>
    <font>
      <b/>
      <sz val="11.5"/>
      <name val="Calibri"/>
      <scheme val="minor"/>
    </font>
    <font>
      <b/>
      <i/>
      <sz val="12"/>
      <name val="Calibri"/>
      <scheme val="minor"/>
    </font>
    <font>
      <b/>
      <sz val="11"/>
      <name val="Calibri"/>
    </font>
    <font>
      <sz val="10"/>
      <color theme="1" tint="0.499984740745262"/>
      <name val="Calibri"/>
      <scheme val="minor"/>
    </font>
    <font>
      <i/>
      <sz val="10"/>
      <color theme="1" tint="0.499984740745262"/>
      <name val="Calibri"/>
      <scheme val="minor"/>
    </font>
    <font>
      <sz val="20"/>
      <name val="Arial"/>
    </font>
    <font>
      <sz val="8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b/>
      <sz val="11"/>
      <color rgb="FF242424"/>
      <name val="Cambria"/>
      <scheme val="major"/>
    </font>
    <font>
      <sz val="11"/>
      <color rgb="FF242424"/>
      <name val="Segoe UI"/>
    </font>
    <font>
      <sz val="11"/>
      <color rgb="FF444444"/>
      <name val="Calibri"/>
      <scheme val="minor"/>
    </font>
    <font>
      <sz val="11"/>
      <color rgb="FF444444"/>
      <name val="Calibri"/>
    </font>
    <font>
      <sz val="11"/>
      <color rgb="FF242424"/>
      <name val="Calibri"/>
    </font>
    <font>
      <sz val="11"/>
      <color rgb="FF242424"/>
      <name val="Calibri"/>
      <scheme val="minor"/>
    </font>
    <font>
      <sz val="9"/>
      <color theme="1"/>
      <name val="Calibri"/>
      <scheme val="minor"/>
    </font>
    <font>
      <sz val="9"/>
      <color theme="1"/>
      <name val="Arial"/>
    </font>
    <font>
      <sz val="11"/>
      <name val="Calibri"/>
    </font>
    <font>
      <sz val="11"/>
      <name val="Arial"/>
    </font>
    <font>
      <b/>
      <sz val="10"/>
      <color theme="1" tint="0.499984740745262"/>
      <name val="Calibri"/>
      <scheme val="minor"/>
    </font>
    <font>
      <b/>
      <sz val="20"/>
      <name val="Arial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theme="5" tint="0.39997558519241921"/>
        <bgColor indexed="65"/>
      </patternFill>
    </fill>
    <fill>
      <patternFill patternType="solid">
        <fgColor indexed="2"/>
      </patternFill>
    </fill>
    <fill>
      <patternFill patternType="solid">
        <fgColor rgb="FFF2F2F2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ashed">
        <color theme="0" tint="-0.14993743705557422"/>
      </left>
      <right/>
      <top style="dashed">
        <color theme="0" tint="-0.14993743705557422"/>
      </top>
      <bottom/>
      <diagonal/>
    </border>
    <border>
      <left/>
      <right/>
      <top style="dashed">
        <color theme="0" tint="-0.14993743705557422"/>
      </top>
      <bottom/>
      <diagonal/>
    </border>
    <border>
      <left/>
      <right style="dashed">
        <color theme="0" tint="-0.14993743705557422"/>
      </right>
      <top style="dashed">
        <color theme="0" tint="-0.14993743705557422"/>
      </top>
      <bottom/>
      <diagonal/>
    </border>
    <border>
      <left style="dashed">
        <color theme="0" tint="-0.14993743705557422"/>
      </left>
      <right/>
      <top/>
      <bottom/>
      <diagonal/>
    </border>
    <border>
      <left/>
      <right style="dashed">
        <color theme="0" tint="-0.14993743705557422"/>
      </right>
      <top/>
      <bottom/>
      <diagonal/>
    </border>
    <border>
      <left style="dashed">
        <color theme="0" tint="-0.14993743705557422"/>
      </left>
      <right/>
      <top/>
      <bottom style="dashed">
        <color theme="0" tint="-0.14996795556505021"/>
      </bottom>
      <diagonal/>
    </border>
    <border>
      <left/>
      <right/>
      <top/>
      <bottom style="dashed">
        <color theme="0" tint="-0.14996795556505021"/>
      </bottom>
      <diagonal/>
    </border>
    <border>
      <left/>
      <right style="dashed">
        <color theme="0" tint="-0.14993743705557422"/>
      </right>
      <top/>
      <bottom style="dashed">
        <color theme="0" tint="-0.14996795556505021"/>
      </bottom>
      <diagonal/>
    </border>
    <border>
      <left style="dashed">
        <color theme="0" tint="-0.14993743705557422"/>
      </left>
      <right/>
      <top/>
      <bottom style="dashed">
        <color theme="0" tint="-0.14993743705557422"/>
      </bottom>
      <diagonal/>
    </border>
    <border>
      <left/>
      <right/>
      <top/>
      <bottom style="dashed">
        <color theme="0" tint="-0.14993743705557422"/>
      </bottom>
      <diagonal/>
    </border>
    <border>
      <left/>
      <right style="dashed">
        <color theme="0" tint="-0.14993743705557422"/>
      </right>
      <top/>
      <bottom style="dashed">
        <color theme="0" tint="-0.14993743705557422"/>
      </bottom>
      <diagonal/>
    </border>
    <border>
      <left style="dashed">
        <color theme="0" tint="-0.14996795556505021"/>
      </left>
      <right/>
      <top style="dashed">
        <color theme="0" tint="-0.14996795556505021"/>
      </top>
      <bottom/>
      <diagonal/>
    </border>
    <border>
      <left/>
      <right/>
      <top style="dashed">
        <color theme="0" tint="-0.14996795556505021"/>
      </top>
      <bottom/>
      <diagonal/>
    </border>
    <border>
      <left/>
      <right style="dashed">
        <color theme="0" tint="-0.14996795556505021"/>
      </right>
      <top style="dashed">
        <color theme="0" tint="-0.14996795556505021"/>
      </top>
      <bottom/>
      <diagonal/>
    </border>
    <border>
      <left style="dashed">
        <color theme="0" tint="-0.14996795556505021"/>
      </left>
      <right/>
      <top/>
      <bottom/>
      <diagonal/>
    </border>
    <border>
      <left/>
      <right style="dashed">
        <color theme="0" tint="-0.1499679555650502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2" fillId="0" borderId="0" applyNumberFormat="0" applyFill="0" applyBorder="0" applyProtection="0"/>
  </cellStyleXfs>
  <cellXfs count="30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4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left" vertical="center"/>
    </xf>
    <xf numFmtId="0" fontId="4" fillId="2" borderId="0" xfId="0" applyFont="1" applyFill="1" applyAlignment="1" applyProtection="1">
      <alignment vertical="center"/>
      <protection locked="0"/>
    </xf>
    <xf numFmtId="0" fontId="7" fillId="0" borderId="5" xfId="0" applyFont="1" applyBorder="1" applyAlignment="1">
      <alignment horizontal="left" vertical="center"/>
    </xf>
    <xf numFmtId="0" fontId="4" fillId="0" borderId="0" xfId="0" applyFont="1" applyAlignment="1" applyProtection="1">
      <alignment horizontal="center" vertical="center"/>
      <protection locked="0"/>
    </xf>
    <xf numFmtId="0" fontId="3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 applyProtection="1">
      <alignment horizontal="center" vertical="center"/>
      <protection locked="0"/>
    </xf>
    <xf numFmtId="0" fontId="9" fillId="4" borderId="6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hidden="1"/>
    </xf>
    <xf numFmtId="0" fontId="4" fillId="0" borderId="0" xfId="0" applyFont="1" applyAlignment="1">
      <alignment horizontal="center" vertical="center"/>
    </xf>
    <xf numFmtId="0" fontId="12" fillId="5" borderId="7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vertical="center"/>
    </xf>
    <xf numFmtId="165" fontId="0" fillId="0" borderId="13" xfId="0" applyNumberForma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165" fontId="0" fillId="0" borderId="14" xfId="0" applyNumberForma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vertical="center"/>
    </xf>
    <xf numFmtId="0" fontId="16" fillId="0" borderId="0" xfId="0" applyFont="1" applyAlignment="1">
      <alignment vertical="center"/>
    </xf>
    <xf numFmtId="166" fontId="4" fillId="0" borderId="15" xfId="0" applyNumberFormat="1" applyFont="1" applyBorder="1" applyAlignment="1">
      <alignment horizontal="left" vertical="center"/>
    </xf>
    <xf numFmtId="0" fontId="4" fillId="0" borderId="19" xfId="0" applyFont="1" applyBorder="1" applyAlignment="1" applyProtection="1">
      <alignment horizontal="left" vertical="center"/>
      <protection locked="0"/>
    </xf>
    <xf numFmtId="0" fontId="4" fillId="0" borderId="2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4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vertical="center" textRotation="90"/>
    </xf>
    <xf numFmtId="0" fontId="19" fillId="0" borderId="0" xfId="0" applyFont="1" applyAlignment="1">
      <alignment horizontal="left" vertical="center"/>
    </xf>
    <xf numFmtId="0" fontId="20" fillId="0" borderId="2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hidden="1"/>
    </xf>
    <xf numFmtId="1" fontId="21" fillId="4" borderId="26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vertical="center"/>
    </xf>
    <xf numFmtId="49" fontId="23" fillId="0" borderId="26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left" vertical="center" indent="1"/>
    </xf>
    <xf numFmtId="0" fontId="19" fillId="4" borderId="26" xfId="0" applyFont="1" applyFill="1" applyBorder="1" applyAlignment="1" applyProtection="1">
      <alignment horizontal="center" vertical="center" wrapText="1"/>
      <protection hidden="1"/>
    </xf>
    <xf numFmtId="0" fontId="3" fillId="0" borderId="26" xfId="0" applyFont="1" applyBorder="1" applyAlignment="1" applyProtection="1">
      <alignment horizontal="left" vertical="center" indent="1"/>
      <protection hidden="1"/>
    </xf>
    <xf numFmtId="0" fontId="24" fillId="0" borderId="26" xfId="0" applyFont="1" applyBorder="1" applyAlignment="1" applyProtection="1">
      <alignment horizontal="center" vertical="center" wrapText="1"/>
      <protection hidden="1"/>
    </xf>
    <xf numFmtId="0" fontId="24" fillId="0" borderId="26" xfId="0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9" fillId="4" borderId="26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left" vertical="top"/>
    </xf>
    <xf numFmtId="0" fontId="19" fillId="4" borderId="26" xfId="0" applyFont="1" applyFill="1" applyBorder="1" applyAlignment="1" applyProtection="1">
      <alignment horizontal="center" vertical="center" wrapText="1"/>
      <protection locked="0" hidden="1"/>
    </xf>
    <xf numFmtId="14" fontId="9" fillId="4" borderId="8" xfId="0" applyNumberFormat="1" applyFont="1" applyFill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left" vertical="center" wrapText="1" indent="1"/>
      <protection locked="0" hidden="1"/>
    </xf>
    <xf numFmtId="1" fontId="9" fillId="4" borderId="26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26" xfId="0" applyFont="1" applyBorder="1" applyAlignment="1" applyProtection="1">
      <alignment horizontal="center" vertical="center"/>
      <protection locked="0" hidden="1"/>
    </xf>
    <xf numFmtId="0" fontId="9" fillId="4" borderId="26" xfId="0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>
      <alignment horizontal="left" vertical="center" indent="1"/>
    </xf>
    <xf numFmtId="0" fontId="19" fillId="4" borderId="27" xfId="0" applyFont="1" applyFill="1" applyBorder="1" applyAlignment="1" applyProtection="1">
      <alignment horizontal="left" vertical="center" indent="1"/>
      <protection locked="0"/>
    </xf>
    <xf numFmtId="0" fontId="25" fillId="0" borderId="13" xfId="0" applyFont="1" applyBorder="1" applyAlignment="1" applyProtection="1">
      <alignment vertical="center"/>
      <protection hidden="1"/>
    </xf>
    <xf numFmtId="0" fontId="19" fillId="0" borderId="28" xfId="0" applyFont="1" applyBorder="1" applyAlignment="1">
      <alignment vertical="center"/>
    </xf>
    <xf numFmtId="1" fontId="19" fillId="4" borderId="27" xfId="0" applyNumberFormat="1" applyFont="1" applyFill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 indent="1"/>
    </xf>
    <xf numFmtId="0" fontId="19" fillId="4" borderId="29" xfId="0" applyFont="1" applyFill="1" applyBorder="1" applyAlignment="1">
      <alignment horizontal="left" vertical="center" indent="1"/>
    </xf>
    <xf numFmtId="0" fontId="19" fillId="4" borderId="29" xfId="0" applyFont="1" applyFill="1" applyBorder="1" applyAlignment="1">
      <alignment horizontal="center" vertical="center"/>
    </xf>
    <xf numFmtId="0" fontId="27" fillId="0" borderId="32" xfId="0" applyFont="1" applyBorder="1" applyAlignment="1" applyProtection="1">
      <alignment horizontal="left" vertical="center" indent="1"/>
      <protection locked="0"/>
    </xf>
    <xf numFmtId="0" fontId="27" fillId="0" borderId="4" xfId="0" applyFont="1" applyBorder="1" applyAlignment="1" applyProtection="1">
      <alignment horizontal="left" vertical="center" indent="1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9" fillId="0" borderId="35" xfId="0" applyFont="1" applyBorder="1" applyAlignment="1" applyProtection="1">
      <alignment horizontal="left" vertical="center" indent="1"/>
      <protection hidden="1"/>
    </xf>
    <xf numFmtId="0" fontId="27" fillId="0" borderId="36" xfId="0" applyFont="1" applyBorder="1" applyAlignment="1">
      <alignment horizontal="left" vertical="center" indent="1"/>
    </xf>
    <xf numFmtId="0" fontId="27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28" fillId="4" borderId="7" xfId="0" applyFont="1" applyFill="1" applyBorder="1" applyAlignment="1">
      <alignment vertical="center"/>
    </xf>
    <xf numFmtId="0" fontId="27" fillId="4" borderId="8" xfId="0" applyFont="1" applyFill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vertical="center"/>
      <protection hidden="1"/>
    </xf>
    <xf numFmtId="0" fontId="4" fillId="0" borderId="28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11" fillId="4" borderId="40" xfId="0" applyFont="1" applyFill="1" applyBorder="1" applyAlignment="1" applyProtection="1">
      <alignment vertical="center"/>
      <protection hidden="1"/>
    </xf>
    <xf numFmtId="0" fontId="4" fillId="4" borderId="40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29" fillId="0" borderId="0" xfId="0" applyFont="1" applyAlignment="1" applyProtection="1">
      <alignment vertical="center"/>
      <protection locked="0"/>
    </xf>
    <xf numFmtId="0" fontId="7" fillId="4" borderId="11" xfId="0" applyFont="1" applyFill="1" applyBorder="1" applyAlignment="1">
      <alignment vertical="center"/>
    </xf>
    <xf numFmtId="0" fontId="5" fillId="4" borderId="41" xfId="0" applyFont="1" applyFill="1" applyBorder="1" applyAlignment="1">
      <alignment horizontal="left" vertical="center"/>
    </xf>
    <xf numFmtId="0" fontId="7" fillId="4" borderId="41" xfId="0" applyFont="1" applyFill="1" applyBorder="1" applyAlignment="1">
      <alignment horizontal="left" vertical="center"/>
    </xf>
    <xf numFmtId="0" fontId="5" fillId="4" borderId="34" xfId="0" applyFont="1" applyFill="1" applyBorder="1" applyAlignment="1">
      <alignment horizontal="center" vertical="center"/>
    </xf>
    <xf numFmtId="0" fontId="7" fillId="4" borderId="39" xfId="0" applyFont="1" applyFill="1" applyBorder="1" applyAlignment="1" applyProtection="1">
      <alignment horizontal="right" vertical="center" indent="1"/>
      <protection locked="0"/>
    </xf>
    <xf numFmtId="0" fontId="19" fillId="0" borderId="26" xfId="0" applyFont="1" applyBorder="1" applyAlignment="1">
      <alignment horizontal="left" vertical="center"/>
    </xf>
    <xf numFmtId="0" fontId="9" fillId="4" borderId="26" xfId="0" applyFont="1" applyFill="1" applyBorder="1" applyAlignment="1" applyProtection="1">
      <alignment horizontal="center" vertical="center"/>
      <protection locked="0" hidden="1"/>
    </xf>
    <xf numFmtId="0" fontId="10" fillId="0" borderId="47" xfId="0" applyFont="1" applyBorder="1" applyAlignment="1">
      <alignment horizontal="center" vertical="center"/>
    </xf>
    <xf numFmtId="166" fontId="10" fillId="4" borderId="48" xfId="0" applyNumberFormat="1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10" fillId="0" borderId="16" xfId="0" applyFont="1" applyBorder="1" applyAlignment="1">
      <alignment horizontal="left" vertical="center" indent="2"/>
    </xf>
    <xf numFmtId="166" fontId="27" fillId="4" borderId="17" xfId="0" applyNumberFormat="1" applyFont="1" applyFill="1" applyBorder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 vertical="center"/>
      <protection locked="0"/>
    </xf>
    <xf numFmtId="0" fontId="19" fillId="0" borderId="26" xfId="0" applyFont="1" applyBorder="1" applyAlignment="1">
      <alignment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>
      <alignment horizontal="left" vertical="center" indent="2"/>
    </xf>
    <xf numFmtId="166" fontId="27" fillId="0" borderId="19" xfId="0" applyNumberFormat="1" applyFont="1" applyBorder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left" vertical="center"/>
      <protection locked="0"/>
    </xf>
    <xf numFmtId="0" fontId="19" fillId="0" borderId="0" xfId="0" applyFont="1" applyAlignment="1">
      <alignment vertical="center"/>
    </xf>
    <xf numFmtId="0" fontId="10" fillId="0" borderId="35" xfId="0" applyFont="1" applyBorder="1" applyAlignment="1">
      <alignment horizontal="left" vertical="center" indent="2"/>
    </xf>
    <xf numFmtId="14" fontId="27" fillId="0" borderId="46" xfId="0" applyNumberFormat="1" applyFont="1" applyBorder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hidden="1"/>
    </xf>
    <xf numFmtId="0" fontId="4" fillId="0" borderId="0" xfId="0" applyFont="1" applyAlignment="1">
      <alignment horizontal="right" vertical="center"/>
    </xf>
    <xf numFmtId="0" fontId="4" fillId="4" borderId="10" xfId="0" applyFont="1" applyFill="1" applyBorder="1" applyAlignment="1" applyProtection="1">
      <alignment horizontal="left" vertical="center"/>
      <protection hidden="1"/>
    </xf>
    <xf numFmtId="0" fontId="10" fillId="0" borderId="44" xfId="0" applyFont="1" applyBorder="1" applyAlignment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32" fillId="0" borderId="53" xfId="0" applyFont="1" applyBorder="1" applyAlignment="1">
      <alignment horizontal="left" vertical="center" indent="23"/>
    </xf>
    <xf numFmtId="0" fontId="32" fillId="0" borderId="0" xfId="0" applyFont="1" applyAlignment="1">
      <alignment horizontal="left" vertical="center" indent="23"/>
    </xf>
    <xf numFmtId="0" fontId="32" fillId="0" borderId="54" xfId="0" applyFont="1" applyBorder="1" applyAlignment="1">
      <alignment horizontal="left" vertical="center" indent="23"/>
    </xf>
    <xf numFmtId="0" fontId="4" fillId="0" borderId="0" xfId="0" applyFont="1" applyAlignment="1">
      <alignment horizontal="left" vertical="center" indent="23"/>
    </xf>
    <xf numFmtId="0" fontId="32" fillId="0" borderId="61" xfId="0" applyFont="1" applyBorder="1" applyAlignment="1">
      <alignment vertical="center"/>
    </xf>
    <xf numFmtId="0" fontId="32" fillId="0" borderId="62" xfId="0" applyFont="1" applyBorder="1" applyAlignment="1">
      <alignment vertical="center"/>
    </xf>
    <xf numFmtId="0" fontId="32" fillId="0" borderId="63" xfId="0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31" fillId="0" borderId="64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65" xfId="0" applyFont="1" applyBorder="1" applyAlignment="1">
      <alignment vertical="center"/>
    </xf>
    <xf numFmtId="0" fontId="31" fillId="0" borderId="64" xfId="0" applyFont="1" applyBorder="1" applyAlignment="1">
      <alignment horizontal="left" vertical="center" indent="2"/>
    </xf>
    <xf numFmtId="0" fontId="31" fillId="0" borderId="0" xfId="0" applyFont="1" applyAlignment="1">
      <alignment horizontal="left" vertical="center" indent="2"/>
    </xf>
    <xf numFmtId="0" fontId="31" fillId="0" borderId="65" xfId="0" applyFont="1" applyBorder="1" applyAlignment="1">
      <alignment horizontal="left" vertical="center" indent="2"/>
    </xf>
    <xf numFmtId="0" fontId="3" fillId="0" borderId="64" xfId="0" applyFont="1" applyBorder="1" applyAlignment="1">
      <alignment vertical="center"/>
    </xf>
    <xf numFmtId="0" fontId="3" fillId="0" borderId="65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0" borderId="0" xfId="0" applyAlignment="1">
      <alignment horizontal="left"/>
    </xf>
    <xf numFmtId="0" fontId="34" fillId="0" borderId="1" xfId="0" applyFont="1" applyBorder="1"/>
    <xf numFmtId="49" fontId="35" fillId="6" borderId="1" xfId="0" applyNumberFormat="1" applyFont="1" applyFill="1" applyBorder="1" applyAlignment="1">
      <alignment horizontal="left" vertical="center"/>
    </xf>
    <xf numFmtId="0" fontId="35" fillId="6" borderId="1" xfId="0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/>
    </xf>
    <xf numFmtId="0" fontId="35" fillId="7" borderId="1" xfId="0" applyFont="1" applyFill="1" applyBorder="1" applyAlignment="1">
      <alignment horizontal="left" vertical="center"/>
    </xf>
    <xf numFmtId="49" fontId="35" fillId="6" borderId="1" xfId="0" applyNumberFormat="1" applyFont="1" applyFill="1" applyBorder="1" applyAlignment="1">
      <alignment horizontal="center" vertical="center"/>
    </xf>
    <xf numFmtId="0" fontId="36" fillId="0" borderId="1" xfId="0" applyFont="1" applyBorder="1"/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7" fillId="0" borderId="0" xfId="0" applyFont="1"/>
    <xf numFmtId="49" fontId="38" fillId="0" borderId="0" xfId="0" applyNumberFormat="1" applyFont="1"/>
    <xf numFmtId="0" fontId="1" fillId="3" borderId="1" xfId="1" applyFont="1" applyFill="1" applyBorder="1" applyAlignment="1">
      <alignment horizontal="left" vertical="center" wrapText="1"/>
    </xf>
    <xf numFmtId="0" fontId="0" fillId="2" borderId="0" xfId="0" applyFill="1"/>
    <xf numFmtId="0" fontId="36" fillId="2" borderId="1" xfId="0" applyFont="1" applyFill="1" applyBorder="1"/>
    <xf numFmtId="49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center" wrapText="1"/>
    </xf>
    <xf numFmtId="49" fontId="0" fillId="8" borderId="1" xfId="0" applyNumberFormat="1" applyFill="1" applyBorder="1" applyAlignment="1">
      <alignment horizontal="left" vertical="center"/>
    </xf>
    <xf numFmtId="0" fontId="0" fillId="8" borderId="0" xfId="0" applyFill="1"/>
    <xf numFmtId="49" fontId="0" fillId="0" borderId="15" xfId="0" applyNumberFormat="1" applyBorder="1" applyAlignment="1">
      <alignment horizontal="left" vertical="center"/>
    </xf>
    <xf numFmtId="0" fontId="9" fillId="0" borderId="1" xfId="0" applyFont="1" applyBorder="1"/>
    <xf numFmtId="49" fontId="39" fillId="0" borderId="1" xfId="0" applyNumberFormat="1" applyFont="1" applyBorder="1" applyAlignment="1">
      <alignment horizontal="left"/>
    </xf>
    <xf numFmtId="0" fontId="40" fillId="0" borderId="1" xfId="0" applyFont="1" applyBorder="1"/>
    <xf numFmtId="49" fontId="41" fillId="3" borderId="0" xfId="0" applyNumberFormat="1" applyFont="1" applyFill="1"/>
    <xf numFmtId="0" fontId="1" fillId="0" borderId="1" xfId="1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49" fontId="43" fillId="3" borderId="1" xfId="0" applyNumberFormat="1" applyFont="1" applyFill="1" applyBorder="1" applyAlignment="1">
      <alignment vertical="center"/>
    </xf>
    <xf numFmtId="0" fontId="44" fillId="3" borderId="1" xfId="0" applyFont="1" applyFill="1" applyBorder="1" applyAlignment="1">
      <alignment vertical="center"/>
    </xf>
    <xf numFmtId="0" fontId="0" fillId="9" borderId="0" xfId="0" applyFill="1"/>
    <xf numFmtId="0" fontId="36" fillId="9" borderId="1" xfId="0" applyFont="1" applyFill="1" applyBorder="1"/>
    <xf numFmtId="49" fontId="0" fillId="9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49" fontId="0" fillId="3" borderId="5" xfId="0" applyNumberFormat="1" applyFill="1" applyBorder="1" applyAlignment="1">
      <alignment horizontal="left" vertical="center"/>
    </xf>
    <xf numFmtId="0" fontId="42" fillId="0" borderId="0" xfId="0" applyFont="1"/>
    <xf numFmtId="0" fontId="42" fillId="0" borderId="1" xfId="0" applyFont="1" applyBorder="1"/>
    <xf numFmtId="49" fontId="0" fillId="0" borderId="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45" fillId="0" borderId="1" xfId="0" applyFont="1" applyBorder="1" applyAlignment="1">
      <alignment wrapText="1"/>
    </xf>
    <xf numFmtId="0" fontId="2" fillId="0" borderId="1" xfId="2" applyFont="1" applyBorder="1" applyAlignment="1">
      <alignment wrapText="1"/>
    </xf>
    <xf numFmtId="0" fontId="41" fillId="0" borderId="0" xfId="0" applyFont="1" applyAlignment="1">
      <alignment horizontal="left"/>
    </xf>
    <xf numFmtId="0" fontId="43" fillId="3" borderId="1" xfId="0" applyFont="1" applyFill="1" applyBorder="1" applyAlignment="1">
      <alignment horizontal="left" vertical="center" wrapText="1"/>
    </xf>
    <xf numFmtId="0" fontId="4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49" fontId="0" fillId="0" borderId="1" xfId="0" applyNumberFormat="1" applyBorder="1"/>
    <xf numFmtId="0" fontId="1" fillId="0" borderId="1" xfId="1" applyFont="1" applyBorder="1"/>
    <xf numFmtId="0" fontId="41" fillId="0" borderId="0" xfId="0" applyFont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1" fillId="0" borderId="1" xfId="1" applyFont="1" applyBorder="1" applyAlignment="1">
      <alignment horizontal="left"/>
    </xf>
    <xf numFmtId="49" fontId="35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49" fontId="3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9" fillId="0" borderId="0" xfId="0" applyFont="1"/>
    <xf numFmtId="49" fontId="39" fillId="0" borderId="0" xfId="0" applyNumberFormat="1" applyFont="1" applyAlignment="1">
      <alignment horizontal="left"/>
    </xf>
    <xf numFmtId="0" fontId="40" fillId="0" borderId="0" xfId="0" applyFont="1"/>
    <xf numFmtId="49" fontId="41" fillId="0" borderId="0" xfId="0" applyNumberFormat="1" applyFont="1"/>
    <xf numFmtId="0" fontId="4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45" fillId="0" borderId="0" xfId="0" applyFont="1" applyAlignment="1">
      <alignment wrapText="1"/>
    </xf>
    <xf numFmtId="0" fontId="2" fillId="0" borderId="0" xfId="2" applyFont="1" applyAlignment="1">
      <alignment wrapText="1"/>
    </xf>
    <xf numFmtId="0" fontId="45" fillId="0" borderId="0" xfId="0" applyFont="1"/>
    <xf numFmtId="0" fontId="2" fillId="0" borderId="0" xfId="2" applyFont="1"/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 applyProtection="1">
      <alignment horizontal="left" vertical="center" indent="6"/>
      <protection locked="0"/>
    </xf>
    <xf numFmtId="0" fontId="4" fillId="4" borderId="1" xfId="0" applyFont="1" applyFill="1" applyBorder="1" applyAlignment="1" applyProtection="1">
      <alignment horizontal="left" vertical="center" indent="6"/>
      <protection locked="0"/>
    </xf>
    <xf numFmtId="0" fontId="17" fillId="0" borderId="0" xfId="0" applyFont="1" applyAlignment="1">
      <alignment horizontal="center"/>
    </xf>
    <xf numFmtId="0" fontId="26" fillId="4" borderId="30" xfId="0" applyFont="1" applyFill="1" applyBorder="1" applyAlignment="1">
      <alignment horizontal="center" vertical="center"/>
    </xf>
    <xf numFmtId="0" fontId="26" fillId="4" borderId="3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39" xfId="0" applyFont="1" applyBorder="1" applyAlignment="1">
      <alignment horizontal="left" vertical="center"/>
    </xf>
    <xf numFmtId="0" fontId="30" fillId="0" borderId="42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9" fillId="4" borderId="44" xfId="0" applyFont="1" applyFill="1" applyBorder="1" applyAlignment="1" applyProtection="1">
      <alignment horizontal="justify" vertical="top"/>
      <protection locked="0"/>
    </xf>
    <xf numFmtId="0" fontId="9" fillId="4" borderId="29" xfId="0" applyFont="1" applyFill="1" applyBorder="1" applyAlignment="1" applyProtection="1">
      <alignment horizontal="justify" vertical="top"/>
      <protection locked="0"/>
    </xf>
    <xf numFmtId="0" fontId="9" fillId="4" borderId="27" xfId="0" applyFont="1" applyFill="1" applyBorder="1" applyAlignment="1" applyProtection="1">
      <alignment horizontal="justify" vertical="top"/>
      <protection locked="0"/>
    </xf>
    <xf numFmtId="0" fontId="14" fillId="4" borderId="32" xfId="0" applyFont="1" applyFill="1" applyBorder="1" applyAlignment="1" applyProtection="1">
      <alignment horizontal="left" vertical="center" indent="1"/>
      <protection locked="0"/>
    </xf>
    <xf numFmtId="0" fontId="14" fillId="4" borderId="4" xfId="0" applyFont="1" applyFill="1" applyBorder="1" applyAlignment="1" applyProtection="1">
      <alignment horizontal="left" vertical="center" indent="1"/>
      <protection locked="0"/>
    </xf>
    <xf numFmtId="0" fontId="14" fillId="4" borderId="45" xfId="0" applyFont="1" applyFill="1" applyBorder="1" applyAlignment="1" applyProtection="1">
      <alignment horizontal="left" vertical="center" indent="1"/>
      <protection locked="0"/>
    </xf>
    <xf numFmtId="0" fontId="14" fillId="4" borderId="18" xfId="0" applyFont="1" applyFill="1" applyBorder="1" applyAlignment="1" applyProtection="1">
      <alignment horizontal="left" vertical="center" indent="1"/>
      <protection locked="0"/>
    </xf>
    <xf numFmtId="0" fontId="14" fillId="4" borderId="1" xfId="0" applyFont="1" applyFill="1" applyBorder="1" applyAlignment="1" applyProtection="1">
      <alignment horizontal="left" vertical="center" indent="1"/>
      <protection locked="0"/>
    </xf>
    <xf numFmtId="0" fontId="14" fillId="4" borderId="19" xfId="0" applyFont="1" applyFill="1" applyBorder="1" applyAlignment="1" applyProtection="1">
      <alignment horizontal="left" vertical="center" indent="1"/>
      <protection locked="0"/>
    </xf>
    <xf numFmtId="0" fontId="14" fillId="4" borderId="35" xfId="0" applyFont="1" applyFill="1" applyBorder="1" applyAlignment="1" applyProtection="1">
      <alignment horizontal="left" vertical="center" indent="1"/>
      <protection locked="0"/>
    </xf>
    <xf numFmtId="0" fontId="14" fillId="4" borderId="36" xfId="0" applyFont="1" applyFill="1" applyBorder="1" applyAlignment="1" applyProtection="1">
      <alignment horizontal="left" vertical="center" indent="1"/>
      <protection locked="0"/>
    </xf>
    <xf numFmtId="0" fontId="14" fillId="4" borderId="46" xfId="0" applyFont="1" applyFill="1" applyBorder="1" applyAlignment="1" applyProtection="1">
      <alignment horizontal="left" vertical="center" indent="1"/>
      <protection locked="0"/>
    </xf>
    <xf numFmtId="0" fontId="27" fillId="0" borderId="9" xfId="0" applyFont="1" applyBorder="1" applyAlignment="1" applyProtection="1">
      <alignment horizontal="center" vertical="center"/>
      <protection locked="0" hidden="1"/>
    </xf>
    <xf numFmtId="0" fontId="27" fillId="0" borderId="34" xfId="0" applyFont="1" applyBorder="1" applyAlignment="1" applyProtection="1">
      <alignment horizontal="center" vertical="center"/>
      <protection locked="0" hidden="1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/>
      <protection locked="0"/>
    </xf>
    <xf numFmtId="0" fontId="27" fillId="0" borderId="42" xfId="0" applyFont="1" applyBorder="1" applyAlignment="1" applyProtection="1">
      <alignment horizontal="center" vertical="center"/>
      <protection hidden="1"/>
    </xf>
    <xf numFmtId="0" fontId="27" fillId="0" borderId="38" xfId="0" applyFont="1" applyBorder="1" applyAlignment="1" applyProtection="1">
      <alignment horizontal="center" vertical="center"/>
      <protection hidden="1"/>
    </xf>
    <xf numFmtId="0" fontId="9" fillId="0" borderId="0" xfId="0" applyFont="1" applyAlignment="1">
      <alignment horizontal="left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left" vertical="center" indent="23"/>
    </xf>
    <xf numFmtId="0" fontId="32" fillId="0" borderId="0" xfId="0" applyFont="1" applyAlignment="1">
      <alignment horizontal="left" vertical="center" indent="23"/>
    </xf>
    <xf numFmtId="0" fontId="32" fillId="0" borderId="54" xfId="0" applyFont="1" applyBorder="1" applyAlignment="1">
      <alignment horizontal="left" vertical="center" indent="23"/>
    </xf>
    <xf numFmtId="0" fontId="32" fillId="0" borderId="5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58" xfId="0" applyFont="1" applyBorder="1" applyAlignment="1">
      <alignment horizontal="left" vertical="center" indent="23"/>
    </xf>
    <xf numFmtId="0" fontId="32" fillId="0" borderId="59" xfId="0" applyFont="1" applyBorder="1" applyAlignment="1">
      <alignment horizontal="left" vertical="center" indent="23"/>
    </xf>
    <xf numFmtId="0" fontId="32" fillId="0" borderId="60" xfId="0" applyFont="1" applyBorder="1" applyAlignment="1">
      <alignment horizontal="left" vertical="center" indent="23"/>
    </xf>
    <xf numFmtId="0" fontId="31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4" xfId="0" applyFont="1" applyBorder="1" applyAlignment="1">
      <alignment horizontal="left" vertical="center" indent="14"/>
    </xf>
    <xf numFmtId="0" fontId="31" fillId="0" borderId="0" xfId="0" applyFont="1" applyAlignment="1">
      <alignment horizontal="left" vertical="center" indent="14"/>
    </xf>
    <xf numFmtId="0" fontId="31" fillId="0" borderId="65" xfId="0" applyFont="1" applyBorder="1" applyAlignment="1">
      <alignment horizontal="left" vertical="center" indent="14"/>
    </xf>
    <xf numFmtId="0" fontId="31" fillId="0" borderId="64" xfId="0" applyFont="1" applyBorder="1" applyAlignment="1">
      <alignment horizontal="left" vertical="center" indent="2"/>
    </xf>
    <xf numFmtId="0" fontId="31" fillId="0" borderId="0" xfId="0" applyFont="1" applyAlignment="1">
      <alignment horizontal="left" vertical="center" indent="2"/>
    </xf>
    <xf numFmtId="0" fontId="31" fillId="0" borderId="65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wrapText="1"/>
    </xf>
    <xf numFmtId="0" fontId="46" fillId="10" borderId="15" xfId="0" applyFont="1" applyFill="1" applyBorder="1" applyAlignment="1">
      <alignment horizontal="left" vertical="center"/>
    </xf>
    <xf numFmtId="0" fontId="46" fillId="10" borderId="66" xfId="0" applyFont="1" applyFill="1" applyBorder="1" applyAlignment="1">
      <alignment horizontal="left" vertical="center"/>
    </xf>
    <xf numFmtId="0" fontId="46" fillId="10" borderId="2" xfId="0" applyFont="1" applyFill="1" applyBorder="1" applyAlignment="1">
      <alignment horizontal="left" vertical="center"/>
    </xf>
  </cellXfs>
  <cellStyles count="3">
    <cellStyle name="Hipervínculo" xfId="1" builtinId="8"/>
    <cellStyle name="Hyperlink" xfId="2"/>
    <cellStyle name="Normal" xfId="0" builtinId="0"/>
  </cellStyles>
  <dxfs count="9">
    <dxf>
      <font>
        <strike val="0"/>
        <u val="none"/>
        <vertAlign val="baseline"/>
      </font>
      <numFmt numFmtId="165" formatCode="&quot;S/.&quot;\ #,##0.0"/>
      <alignment horizontal="center" vertical="center" textRotation="0" wrapText="0" relativeIndent="0" shrinkToFit="0" readingOrder="0"/>
    </dxf>
    <dxf>
      <font>
        <b val="0"/>
        <i/>
        <strike val="0"/>
        <u val="none"/>
        <vertAlign val="baseline"/>
        <sz val="10"/>
        <name val="Calibri"/>
        <scheme val="minor"/>
      </font>
      <fill>
        <patternFill patternType="solid">
          <fgColor indexed="65"/>
          <bgColor indexed="65"/>
        </patternFill>
      </fill>
      <alignment vertical="center" textRotation="0" wrapText="0" relativeIndent="0" shrinkToFit="0" readingOrder="0"/>
    </dxf>
    <dxf>
      <font>
        <b/>
        <i/>
        <strike val="0"/>
        <u val="none"/>
        <vertAlign val="baseline"/>
        <sz val="14"/>
        <name val="Calibri"/>
        <scheme val="minor"/>
      </font>
      <fill>
        <patternFill patternType="solid">
          <fgColor indexed="65"/>
          <bgColor indexed="65"/>
        </patternFill>
      </fill>
      <alignment vertical="center" textRotation="90" wrapText="0" relativeIndent="0" shrinkToFit="0" readingOrder="0"/>
    </dxf>
    <dxf>
      <font>
        <b val="0"/>
        <i/>
        <strike val="0"/>
        <u val="none"/>
        <vertAlign val="baseline"/>
        <sz val="10"/>
        <name val="Calibri"/>
        <scheme val="minor"/>
      </font>
      <fill>
        <patternFill patternType="solid">
          <fgColor indexed="65"/>
          <bgColor indexed="65"/>
        </patternFill>
      </fill>
      <alignment vertical="center" textRotation="0" wrapText="0" relativeIndent="0" shrinkToFit="0" readingOrder="0"/>
    </dxf>
    <dxf>
      <fill>
        <patternFill patternType="solid">
          <fgColor rgb="FFF5E1DF"/>
          <bgColor rgb="FFF5E1DF"/>
        </patternFill>
      </fill>
    </dxf>
    <dxf>
      <fill>
        <patternFill patternType="solid">
          <fgColor rgb="FFF5E1DF"/>
          <bgColor rgb="FFF5E1DF"/>
        </patternFill>
      </fill>
    </dxf>
    <dxf>
      <fill>
        <patternFill patternType="solid">
          <fgColor rgb="FFF5E1DF"/>
          <bgColor rgb="FFF5E1DF"/>
        </patternFill>
      </fill>
    </dxf>
    <dxf>
      <font>
        <name val="Cambria"/>
        <scheme val="none"/>
      </font>
      <fill>
        <patternFill patternType="solid">
          <fgColor rgb="FFF4F775"/>
          <bgColor rgb="FFF4F775"/>
        </patternFill>
      </fill>
    </dxf>
    <dxf>
      <fill>
        <patternFill patternType="solid">
          <fgColor rgb="FFF5E1DF"/>
          <bgColor rgb="FFF5E1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Style="combo" dx="16" fmlaLink="$E$9" fmlaRange="$E$2:$E$5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jpeg"/><Relationship Id="rId3" Type="http://schemas.openxmlformats.org/officeDocument/2006/relationships/image" Target="../media/image2.jpeg"/><Relationship Id="rId7" Type="http://schemas.openxmlformats.org/officeDocument/2006/relationships/image" Target="../media/image6.jpeg"/><Relationship Id="rId12" Type="http://schemas.openxmlformats.org/officeDocument/2006/relationships/image" Target="../media/image11.jpeg"/><Relationship Id="rId2" Type="http://schemas.openxmlformats.org/officeDocument/2006/relationships/image" Target="../media/image1.png"/><Relationship Id="rId1" Type="http://schemas.openxmlformats.org/officeDocument/2006/relationships/hyperlink" Target="#FORMULARIO_GARANTIA!D27"/><Relationship Id="rId6" Type="http://schemas.openxmlformats.org/officeDocument/2006/relationships/image" Target="../media/image5.jpeg"/><Relationship Id="rId11" Type="http://schemas.openxmlformats.org/officeDocument/2006/relationships/image" Target="../media/image10.jpeg"/><Relationship Id="rId5" Type="http://schemas.openxmlformats.org/officeDocument/2006/relationships/image" Target="../media/image4.jpeg"/><Relationship Id="rId15" Type="http://schemas.openxmlformats.org/officeDocument/2006/relationships/image" Target="../media/image14.png"/><Relationship Id="rId10" Type="http://schemas.openxmlformats.org/officeDocument/2006/relationships/image" Target="../media/image9.jpeg"/><Relationship Id="rId4" Type="http://schemas.openxmlformats.org/officeDocument/2006/relationships/image" Target="../media/image3.jpeg"/><Relationship Id="rId9" Type="http://schemas.openxmlformats.org/officeDocument/2006/relationships/image" Target="../media/image8.jpe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56029</xdr:colOff>
      <xdr:row>27</xdr:row>
      <xdr:rowOff>77746</xdr:rowOff>
    </xdr:from>
    <xdr:to>
      <xdr:col>7</xdr:col>
      <xdr:colOff>240</xdr:colOff>
      <xdr:row>34</xdr:row>
      <xdr:rowOff>44821</xdr:rowOff>
    </xdr:to>
    <xdr:pic>
      <xdr:nvPicPr>
        <xdr:cNvPr id="6479" name="Logo Makita" descr="Resultado de imagen para logo makita">
          <a:hlinkClick xmlns:r="http://schemas.openxmlformats.org/officeDocument/2006/relationships" r:id="rId1" tooltip="LOGO"/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1392" b="5182"/>
        <a:stretch/>
      </xdr:blipFill>
      <xdr:spPr bwMode="auto">
        <a:xfrm>
          <a:off x="5378823" y="1052658"/>
          <a:ext cx="3274759" cy="1132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1255089</xdr:colOff>
      <xdr:row>24</xdr:row>
      <xdr:rowOff>22410</xdr:rowOff>
    </xdr:from>
    <xdr:to>
      <xdr:col>6</xdr:col>
      <xdr:colOff>2081413</xdr:colOff>
      <xdr:row>24</xdr:row>
      <xdr:rowOff>274411</xdr:rowOff>
    </xdr:to>
    <xdr:sp macro="" textlink="$E$10">
      <xdr:nvSpPr>
        <xdr:cNvPr id="8" name="7 Rectángulo"/>
        <xdr:cNvSpPr/>
      </xdr:nvSpPr>
      <xdr:spPr bwMode="auto">
        <a:xfrm>
          <a:off x="3081648" y="2980764"/>
          <a:ext cx="5544000" cy="2520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36000" bIns="0" rtlCol="0" anchor="ctr"/>
        <a:lstStyle/>
        <a:p>
          <a:pPr algn="r">
            <a:defRPr/>
          </a:pPr>
          <a:fld id="{E4BC3A6D-ADB6-4CAB-B7BA-C30149CB63B3}" type="TxLink">
            <a:rPr lang="en-US" sz="1400" b="1" i="1" u="none" strike="noStrike">
              <a:solidFill>
                <a:srgbClr val="000000"/>
              </a:solidFill>
              <a:latin typeface="Calibri"/>
              <a:cs typeface="Calibri"/>
            </a:rPr>
            <a:pPr algn="r">
              <a:defRPr/>
            </a:pPr>
            <a:t>DESPACHO POR ALMACEN (LIMA)</a:t>
          </a:fld>
          <a:endParaRPr lang="es-ES" sz="1800" b="1" i="1" u="none"/>
        </a:p>
      </xdr:txBody>
    </xdr:sp>
    <xdr:clientData/>
  </xdr:twoCellAnchor>
  <xdr:twoCellAnchor>
    <xdr:from>
      <xdr:col>2</xdr:col>
      <xdr:colOff>2614081</xdr:colOff>
      <xdr:row>24</xdr:row>
      <xdr:rowOff>616322</xdr:rowOff>
    </xdr:from>
    <xdr:to>
      <xdr:col>2</xdr:col>
      <xdr:colOff>2758081</xdr:colOff>
      <xdr:row>24</xdr:row>
      <xdr:rowOff>616322</xdr:rowOff>
    </xdr:to>
    <xdr:cxnSp macro="">
      <xdr:nvCxnSpPr>
        <xdr:cNvPr id="10" name="9 Conector recto">
          <a:hlinkClick xmlns:r="http://schemas.openxmlformats.org/officeDocument/2006/relationships" r:id="rId1" tooltip="Despacho"/>
        </xdr:cNvPr>
        <xdr:cNvCxnSpPr/>
      </xdr:nvCxnSpPr>
      <xdr:spPr bwMode="auto">
        <a:xfrm>
          <a:off x="4440640" y="3574675"/>
          <a:ext cx="144000" cy="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54584</xdr:colOff>
      <xdr:row>78</xdr:row>
      <xdr:rowOff>11949</xdr:rowOff>
    </xdr:from>
    <xdr:ext cx="3511423" cy="1974214"/>
    <xdr:pic>
      <xdr:nvPicPr>
        <xdr:cNvPr id="1061221876" name="Imagen 1061221875"/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 bwMode="auto">
        <a:xfrm>
          <a:off x="303966" y="8871931"/>
          <a:ext cx="3511423" cy="1974214"/>
        </a:xfrm>
        <a:prstGeom prst="rect">
          <a:avLst/>
        </a:prstGeom>
      </xdr:spPr>
    </xdr:pic>
    <xdr:clientData/>
  </xdr:oneCellAnchor>
  <xdr:oneCellAnchor>
    <xdr:from>
      <xdr:col>2</xdr:col>
      <xdr:colOff>54584</xdr:colOff>
      <xdr:row>90</xdr:row>
      <xdr:rowOff>143567</xdr:rowOff>
    </xdr:from>
    <xdr:ext cx="1573457" cy="2182263"/>
    <xdr:pic>
      <xdr:nvPicPr>
        <xdr:cNvPr id="152217708" name="Imagen 152217707"/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22023"/>
        <a:stretch/>
      </xdr:blipFill>
      <xdr:spPr bwMode="auto">
        <a:xfrm>
          <a:off x="303966" y="10915476"/>
          <a:ext cx="1573457" cy="2182263"/>
        </a:xfrm>
        <a:prstGeom prst="rect">
          <a:avLst/>
        </a:prstGeom>
      </xdr:spPr>
    </xdr:pic>
    <xdr:clientData/>
  </xdr:oneCellAnchor>
  <xdr:oneCellAnchor>
    <xdr:from>
      <xdr:col>2</xdr:col>
      <xdr:colOff>54584</xdr:colOff>
      <xdr:row>105</xdr:row>
      <xdr:rowOff>48317</xdr:rowOff>
    </xdr:from>
    <xdr:ext cx="1573457" cy="2182263"/>
    <xdr:pic>
      <xdr:nvPicPr>
        <xdr:cNvPr id="225542589" name="Imagen 225542588"/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22023"/>
        <a:stretch/>
      </xdr:blipFill>
      <xdr:spPr bwMode="auto">
        <a:xfrm>
          <a:off x="301987" y="13160655"/>
          <a:ext cx="1573457" cy="2182263"/>
        </a:xfrm>
        <a:prstGeom prst="rect">
          <a:avLst/>
        </a:prstGeom>
      </xdr:spPr>
    </xdr:pic>
    <xdr:clientData/>
  </xdr:oneCellAnchor>
  <xdr:oneCellAnchor>
    <xdr:from>
      <xdr:col>5</xdr:col>
      <xdr:colOff>83364</xdr:colOff>
      <xdr:row>90</xdr:row>
      <xdr:rowOff>143567</xdr:rowOff>
    </xdr:from>
    <xdr:ext cx="1717968" cy="2249790"/>
    <xdr:pic>
      <xdr:nvPicPr>
        <xdr:cNvPr id="1143610453" name="Imagen 1143610452"/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6578" b="19794"/>
        <a:stretch/>
      </xdr:blipFill>
      <xdr:spPr bwMode="auto">
        <a:xfrm>
          <a:off x="5403510" y="10915476"/>
          <a:ext cx="1717968" cy="2249790"/>
        </a:xfrm>
        <a:prstGeom prst="rect">
          <a:avLst/>
        </a:prstGeom>
      </xdr:spPr>
    </xdr:pic>
    <xdr:clientData/>
  </xdr:oneCellAnchor>
  <xdr:oneCellAnchor>
    <xdr:from>
      <xdr:col>3</xdr:col>
      <xdr:colOff>77052</xdr:colOff>
      <xdr:row>90</xdr:row>
      <xdr:rowOff>143567</xdr:rowOff>
    </xdr:from>
    <xdr:ext cx="1717968" cy="2249790"/>
    <xdr:pic>
      <xdr:nvPicPr>
        <xdr:cNvPr id="1141912650" name="Imagen 1141912649"/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6578" b="19794"/>
        <a:stretch/>
      </xdr:blipFill>
      <xdr:spPr bwMode="auto">
        <a:xfrm>
          <a:off x="1905852" y="10915476"/>
          <a:ext cx="1717968" cy="2249790"/>
        </a:xfrm>
        <a:prstGeom prst="rect">
          <a:avLst/>
        </a:prstGeom>
      </xdr:spPr>
    </xdr:pic>
    <xdr:clientData/>
  </xdr:oneCellAnchor>
  <xdr:oneCellAnchor>
    <xdr:from>
      <xdr:col>3</xdr:col>
      <xdr:colOff>1829405</xdr:colOff>
      <xdr:row>90</xdr:row>
      <xdr:rowOff>143567</xdr:rowOff>
    </xdr:from>
    <xdr:ext cx="1717968" cy="2249790"/>
    <xdr:pic>
      <xdr:nvPicPr>
        <xdr:cNvPr id="1774886425" name="Imagen 1774886424"/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6578" b="19794"/>
        <a:stretch/>
      </xdr:blipFill>
      <xdr:spPr bwMode="auto">
        <a:xfrm>
          <a:off x="3658205" y="10915476"/>
          <a:ext cx="1717968" cy="2249790"/>
        </a:xfrm>
        <a:prstGeom prst="rect">
          <a:avLst/>
        </a:prstGeom>
      </xdr:spPr>
    </xdr:pic>
    <xdr:clientData/>
  </xdr:oneCellAnchor>
  <xdr:oneCellAnchor>
    <xdr:from>
      <xdr:col>3</xdr:col>
      <xdr:colOff>77052</xdr:colOff>
      <xdr:row>105</xdr:row>
      <xdr:rowOff>57149</xdr:rowOff>
    </xdr:from>
    <xdr:ext cx="1705876" cy="2173431"/>
    <xdr:pic>
      <xdr:nvPicPr>
        <xdr:cNvPr id="801353396" name="Imagen 801353395"/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3932" b="14434"/>
        <a:stretch/>
      </xdr:blipFill>
      <xdr:spPr bwMode="auto">
        <a:xfrm>
          <a:off x="1907831" y="13169487"/>
          <a:ext cx="1705876" cy="2173431"/>
        </a:xfrm>
        <a:prstGeom prst="rect">
          <a:avLst/>
        </a:prstGeom>
      </xdr:spPr>
    </xdr:pic>
    <xdr:clientData/>
  </xdr:oneCellAnchor>
  <xdr:oneCellAnchor>
    <xdr:from>
      <xdr:col>6</xdr:col>
      <xdr:colOff>625428</xdr:colOff>
      <xdr:row>90</xdr:row>
      <xdr:rowOff>143567</xdr:rowOff>
    </xdr:from>
    <xdr:ext cx="1695263" cy="2249790"/>
    <xdr:pic>
      <xdr:nvPicPr>
        <xdr:cNvPr id="658314056" name="Imagen 658314055"/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5169" b="20217"/>
        <a:stretch/>
      </xdr:blipFill>
      <xdr:spPr bwMode="auto">
        <a:xfrm>
          <a:off x="7164774" y="10915476"/>
          <a:ext cx="1695263" cy="2249790"/>
        </a:xfrm>
        <a:prstGeom prst="rect">
          <a:avLst/>
        </a:prstGeom>
      </xdr:spPr>
    </xdr:pic>
    <xdr:clientData/>
  </xdr:oneCellAnchor>
  <xdr:oneCellAnchor>
    <xdr:from>
      <xdr:col>6</xdr:col>
      <xdr:colOff>614815</xdr:colOff>
      <xdr:row>105</xdr:row>
      <xdr:rowOff>74468</xdr:rowOff>
    </xdr:from>
    <xdr:ext cx="1705876" cy="2156113"/>
    <xdr:pic>
      <xdr:nvPicPr>
        <xdr:cNvPr id="2041095097" name="Imagen 2041095096"/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1649" b="17288"/>
        <a:stretch/>
      </xdr:blipFill>
      <xdr:spPr bwMode="auto">
        <a:xfrm>
          <a:off x="7154161" y="13236286"/>
          <a:ext cx="1705876" cy="2156113"/>
        </a:xfrm>
        <a:prstGeom prst="rect">
          <a:avLst/>
        </a:prstGeom>
      </xdr:spPr>
    </xdr:pic>
    <xdr:clientData/>
  </xdr:oneCellAnchor>
  <xdr:oneCellAnchor>
    <xdr:from>
      <xdr:col>3</xdr:col>
      <xdr:colOff>1835451</xdr:colOff>
      <xdr:row>105</xdr:row>
      <xdr:rowOff>57149</xdr:rowOff>
    </xdr:from>
    <xdr:ext cx="1705876" cy="2173431"/>
    <xdr:pic>
      <xdr:nvPicPr>
        <xdr:cNvPr id="386363428" name="Imagen 386363427"/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3932" b="14434"/>
        <a:stretch/>
      </xdr:blipFill>
      <xdr:spPr bwMode="auto">
        <a:xfrm>
          <a:off x="3666230" y="13169487"/>
          <a:ext cx="1705876" cy="2173431"/>
        </a:xfrm>
        <a:prstGeom prst="rect">
          <a:avLst/>
        </a:prstGeom>
      </xdr:spPr>
    </xdr:pic>
    <xdr:clientData/>
  </xdr:oneCellAnchor>
  <xdr:oneCellAnchor>
    <xdr:from>
      <xdr:col>5</xdr:col>
      <xdr:colOff>89410</xdr:colOff>
      <xdr:row>105</xdr:row>
      <xdr:rowOff>57149</xdr:rowOff>
    </xdr:from>
    <xdr:ext cx="1705876" cy="2173431"/>
    <xdr:pic>
      <xdr:nvPicPr>
        <xdr:cNvPr id="2007709905" name="Imagen 2007709904"/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1078" b="17288"/>
        <a:stretch/>
      </xdr:blipFill>
      <xdr:spPr bwMode="auto">
        <a:xfrm>
          <a:off x="5409556" y="13218968"/>
          <a:ext cx="1705876" cy="2173431"/>
        </a:xfrm>
        <a:prstGeom prst="rect">
          <a:avLst/>
        </a:prstGeom>
      </xdr:spPr>
    </xdr:pic>
    <xdr:clientData/>
  </xdr:oneCellAnchor>
  <xdr:oneCellAnchor>
    <xdr:from>
      <xdr:col>7</xdr:col>
      <xdr:colOff>141176</xdr:colOff>
      <xdr:row>25</xdr:row>
      <xdr:rowOff>37110</xdr:rowOff>
    </xdr:from>
    <xdr:ext cx="8592412" cy="5572990"/>
    <xdr:pic>
      <xdr:nvPicPr>
        <xdr:cNvPr id="276930914" name="Imagen 276930913"/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 bwMode="auto">
        <a:xfrm>
          <a:off x="8812637" y="667987"/>
          <a:ext cx="8592412" cy="557299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2809875</xdr:colOff>
          <xdr:row>71</xdr:row>
          <xdr:rowOff>0</xdr:rowOff>
        </xdr:from>
        <xdr:to>
          <xdr:col>3</xdr:col>
          <xdr:colOff>2971800</xdr:colOff>
          <xdr:row>71</xdr:row>
          <xdr:rowOff>190500</xdr:rowOff>
        </xdr:to>
        <xdr:sp macro="" textlink="">
          <xdr:nvSpPr>
            <xdr:cNvPr id="6144" name="Drop Down 67" hidden="1">
              <a:extLst>
                <a:ext uri="{63B3BB69-23CF-44E3-9099-C40C66FF867C}">
                  <a14:compatExt spid="_x0000_s6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2078182</xdr:colOff>
      <xdr:row>78</xdr:row>
      <xdr:rowOff>0</xdr:rowOff>
    </xdr:from>
    <xdr:to>
      <xdr:col>5</xdr:col>
      <xdr:colOff>1026720</xdr:colOff>
      <xdr:row>90</xdr:row>
      <xdr:rowOff>79732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08961" y="8770422"/>
          <a:ext cx="2449285" cy="20094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3" displayName="Tabla3" ref="A25:A177">
  <autoFilter ref="A25:A177">
    <filterColumn colId="0" showButton="0"/>
  </autoFilter>
  <tableColumns count="1">
    <tableColumn id="1" name="Columna1" totalsRowLabel="Total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B25:B46">
  <autoFilter ref="B25:B46">
    <filterColumn colId="0" showButton="0"/>
  </autoFilter>
  <tableColumns count="1">
    <tableColumn id="1" name="Columna1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B55:B182">
  <autoFilter ref="B55:B182">
    <filterColumn colId="0" showButton="0"/>
  </autoFilter>
  <tableColumns count="1">
    <tableColumn id="1" name="Columna1" totalsRowLabel="Total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a2" displayName="Tabla2" ref="G14:G19">
  <autoFilter ref="G14:G19"/>
  <tableColumns count="1">
    <tableColumn id="1" name="PARA LOS ST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CORPYSERVICIOS@GMAIL.COM" TargetMode="External"/><Relationship Id="rId2" Type="http://schemas.openxmlformats.org/officeDocument/2006/relationships/hyperlink" Target="mailto:servicio@toolshome.pe" TargetMode="External"/><Relationship Id="rId1" Type="http://schemas.openxmlformats.org/officeDocument/2006/relationships/hyperlink" Target="mailto:servitec.ingenieros@hotmail.com" TargetMode="External"/><Relationship Id="rId5" Type="http://schemas.openxmlformats.org/officeDocument/2006/relationships/hyperlink" Target="https://wa.link/mccyni" TargetMode="External"/><Relationship Id="rId4" Type="http://schemas.openxmlformats.org/officeDocument/2006/relationships/hyperlink" Target="mailto:SERVICE@ITOOL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M182"/>
  <sheetViews>
    <sheetView showGridLines="0" tabSelected="1" topLeftCell="A25" zoomScale="77" workbookViewId="0">
      <selection activeCell="K78" sqref="K78"/>
    </sheetView>
  </sheetViews>
  <sheetFormatPr baseColWidth="10" defaultColWidth="11.42578125" defaultRowHeight="12.75" x14ac:dyDescent="0.2"/>
  <cols>
    <col min="1" max="2" width="1.85546875" style="1" customWidth="1"/>
    <col min="3" max="3" width="23.7109375" style="2" customWidth="1"/>
    <col min="4" max="4" width="44.7109375" style="2" customWidth="1"/>
    <col min="5" max="5" width="7.7109375" style="2" customWidth="1"/>
    <col min="6" max="6" width="18.28515625" style="2" customWidth="1"/>
    <col min="7" max="7" width="31.7109375" style="2" customWidth="1"/>
    <col min="8" max="8" width="3.7109375" style="1" customWidth="1"/>
    <col min="9" max="9" width="11.42578125" style="1"/>
    <col min="10" max="10" width="12.85546875" style="1" customWidth="1"/>
    <col min="11" max="11" width="11.42578125" style="1"/>
    <col min="12" max="12" width="11.5703125" style="1" customWidth="1"/>
    <col min="13" max="16384" width="11.42578125" style="1"/>
  </cols>
  <sheetData>
    <row r="1" spans="3:13" s="2" customFormat="1" ht="9.9499999999999993" hidden="1" customHeight="1" x14ac:dyDescent="0.2">
      <c r="C1" s="3" t="s">
        <v>0</v>
      </c>
      <c r="D1" s="4" t="str">
        <f>IF(CELDA_NUMERO_MPE_DE_AUTORIZACION="","Vacio",CELDA_NUMERO_MPE_DE_AUTORIZACION)</f>
        <v>MPE26-425</v>
      </c>
      <c r="E1" s="5" t="s">
        <v>1</v>
      </c>
      <c r="F1" s="6"/>
      <c r="G1" s="3" t="s">
        <v>2</v>
      </c>
      <c r="H1" s="2" t="s">
        <v>3</v>
      </c>
    </row>
    <row r="2" spans="3:13" s="2" customFormat="1" ht="9.9499999999999993" hidden="1" customHeight="1" x14ac:dyDescent="0.2">
      <c r="C2" s="3" t="s">
        <v>4</v>
      </c>
      <c r="D2" s="4" t="str">
        <f>IF(CELDA_RUC_DEL_SERVICIO_TECNICO="","Vacio",CELDA_RUC_DEL_SERVICIO_TECNICO)</f>
        <v>10295867782</v>
      </c>
      <c r="E2" s="7" t="s">
        <v>5</v>
      </c>
      <c r="F2" s="8" t="s">
        <v>6</v>
      </c>
      <c r="G2" s="3" t="s">
        <v>7</v>
      </c>
      <c r="H2" s="9" t="s">
        <v>3</v>
      </c>
    </row>
    <row r="3" spans="3:13" s="2" customFormat="1" ht="9.9499999999999993" hidden="1" customHeight="1" x14ac:dyDescent="0.2">
      <c r="C3" s="3" t="s">
        <v>8</v>
      </c>
      <c r="D3" s="4" t="str">
        <f>IF(CELDA_NOMBRE_DEL_SERVICO_TECNICO="","Vacio",CELDA_NOMBRE_DEL_SERVICO_TECNICO)</f>
        <v>QUISPE PARI FREDY</v>
      </c>
      <c r="E3" s="7" t="s">
        <v>9</v>
      </c>
      <c r="F3" s="6" t="s">
        <v>6</v>
      </c>
      <c r="G3" s="3" t="s">
        <v>10</v>
      </c>
      <c r="H3" s="10" t="s">
        <v>3</v>
      </c>
    </row>
    <row r="4" spans="3:13" s="2" customFormat="1" ht="9.9499999999999993" hidden="1" customHeight="1" x14ac:dyDescent="0.2">
      <c r="C4" s="3" t="s">
        <v>11</v>
      </c>
      <c r="D4" s="4" t="str">
        <f>IF(CELDA_RUC_CLIENTE="","Vacio",CELDA_RUC_CLIENTE)</f>
        <v>20519999324</v>
      </c>
      <c r="E4" s="7" t="s">
        <v>12</v>
      </c>
      <c r="F4" s="11" t="s">
        <v>13</v>
      </c>
      <c r="G4" s="12" t="str">
        <f>IF(G5=TRUE,"NOTA: ENTREGAR LOS RPTOS AL STMPE"," ")</f>
        <v>NOTA: ENTREGAR LOS RPTOS AL STMPE</v>
      </c>
      <c r="H4" s="10"/>
    </row>
    <row r="5" spans="3:13" s="2" customFormat="1" ht="9.9499999999999993" hidden="1" customHeight="1" x14ac:dyDescent="0.2">
      <c r="C5" s="3" t="s">
        <v>14</v>
      </c>
      <c r="D5" s="4" t="str">
        <f>IF(CELDA_NOMBRE_CLIENTE="","Vacio",CELDA_NOMBRE_CLIENTE)</f>
        <v>Contratistas Generales Sisten SRL</v>
      </c>
      <c r="E5" s="7"/>
      <c r="F5" s="11" t="s">
        <v>13</v>
      </c>
      <c r="G5" s="12" t="b">
        <v>1</v>
      </c>
      <c r="H5" s="10"/>
    </row>
    <row r="6" spans="3:13" s="2" customFormat="1" ht="9.9499999999999993" hidden="1" customHeight="1" x14ac:dyDescent="0.2">
      <c r="C6" s="3" t="s">
        <v>15</v>
      </c>
      <c r="D6" s="4" t="str">
        <f>IF(CELDA_CIUDAD_CLIENTE="","Vacio",CELDA_CIUDAD_CLIENTE)</f>
        <v>MOQUEGUA-ILO-ILO</v>
      </c>
      <c r="E6" s="13" t="s">
        <v>16</v>
      </c>
      <c r="F6" s="14"/>
      <c r="G6" s="3" t="s">
        <v>17</v>
      </c>
      <c r="H6" s="10" t="s">
        <v>3</v>
      </c>
      <c r="L6" s="15"/>
      <c r="M6" s="15"/>
    </row>
    <row r="7" spans="3:13" s="2" customFormat="1" ht="9.9499999999999993" hidden="1" customHeight="1" x14ac:dyDescent="0.2">
      <c r="C7" s="3" t="s">
        <v>18</v>
      </c>
      <c r="D7" s="4">
        <f>IF(CELDA_OT="","Vacio",CELDA_OT)</f>
        <v>612</v>
      </c>
      <c r="E7" s="13" t="s">
        <v>19</v>
      </c>
      <c r="F7" s="245" t="s">
        <v>20</v>
      </c>
      <c r="G7" s="246"/>
      <c r="H7" s="10"/>
    </row>
    <row r="8" spans="3:13" s="2" customFormat="1" ht="9.9499999999999993" hidden="1" customHeight="1" x14ac:dyDescent="0.2">
      <c r="C8" s="3" t="s">
        <v>21</v>
      </c>
      <c r="D8" s="4">
        <f>IF(CELDA_F_RECEPCION="","Vacio",CELDA_F_RECEPCION)</f>
        <v>46213</v>
      </c>
      <c r="E8" s="16" t="s">
        <v>22</v>
      </c>
      <c r="F8" s="247"/>
      <c r="G8" s="248"/>
      <c r="H8" s="10"/>
    </row>
    <row r="9" spans="3:13" s="2" customFormat="1" ht="9.9499999999999993" hidden="1" customHeight="1" x14ac:dyDescent="0.2">
      <c r="C9" s="3" t="s">
        <v>23</v>
      </c>
      <c r="D9" s="4">
        <f>IF(CELDA_F_COMPRA="","Vacio",CELDA_F_COMPRA)</f>
        <v>46209</v>
      </c>
      <c r="E9" s="17">
        <v>1</v>
      </c>
      <c r="F9" s="18" t="s">
        <v>24</v>
      </c>
      <c r="G9" s="2" t="s">
        <v>25</v>
      </c>
      <c r="H9" s="10"/>
    </row>
    <row r="10" spans="3:13" s="2" customFormat="1" ht="9.9499999999999993" hidden="1" customHeight="1" x14ac:dyDescent="0.2">
      <c r="C10" s="3" t="s">
        <v>26</v>
      </c>
      <c r="D10" s="3" t="str">
        <f>IF(CELDA_BOLETA_FACTURA="","Vacio",CELDA_BOLETA_FACTURA)</f>
        <v>E001-3514</v>
      </c>
      <c r="E10" s="19" t="str">
        <f>IF(E9=1,E6,IF(E9=2,E7,IF(E9=3,E8,"")))</f>
        <v>DESPACHO POR ALMACEN (LIMA)</v>
      </c>
      <c r="F10" s="20" t="s">
        <v>27</v>
      </c>
      <c r="G10" s="2" t="s">
        <v>28</v>
      </c>
      <c r="H10" s="10"/>
    </row>
    <row r="11" spans="3:13" s="2" customFormat="1" ht="9.9499999999999993" hidden="1" customHeight="1" x14ac:dyDescent="0.2">
      <c r="C11" s="3" t="s">
        <v>29</v>
      </c>
      <c r="D11" s="4" t="str">
        <f>IF(CELDA_DISTRIBUIDOR="","Vacio",CELDA_DISTRIBUIDOR)</f>
        <v>Vacio</v>
      </c>
      <c r="E11" s="21"/>
      <c r="F11" s="22" t="s">
        <v>30</v>
      </c>
      <c r="G11" s="23"/>
      <c r="H11" s="10"/>
    </row>
    <row r="12" spans="3:13" s="2" customFormat="1" ht="9.9499999999999993" hidden="1" customHeight="1" x14ac:dyDescent="0.2">
      <c r="C12" s="3" t="s">
        <v>31</v>
      </c>
      <c r="D12" s="4" t="str">
        <f>IF(CELDA_MODELO="","Vacio",CELDA_MODELO)</f>
        <v>DGA452</v>
      </c>
      <c r="E12" s="24"/>
      <c r="F12" s="25" t="s">
        <v>32</v>
      </c>
      <c r="G12" s="24"/>
      <c r="H12" s="26">
        <f>IF(CELDA_NOM_COMERCIAL_DEL_SERVICIO_TECNICO="",1,0)</f>
        <v>1</v>
      </c>
    </row>
    <row r="13" spans="3:13" s="2" customFormat="1" ht="9.9499999999999993" hidden="1" customHeight="1" x14ac:dyDescent="0.2">
      <c r="C13" s="3" t="s">
        <v>33</v>
      </c>
      <c r="D13" s="4" t="str">
        <f>IF(CELDA_SERIE="","Vacio",CELDA_SERIE)</f>
        <v>2092084Y</v>
      </c>
      <c r="E13" s="27"/>
      <c r="F13" s="28" t="s">
        <v>34</v>
      </c>
      <c r="G13" s="29" t="s">
        <v>35</v>
      </c>
      <c r="H13" s="10"/>
    </row>
    <row r="14" spans="3:13" s="2" customFormat="1" ht="9.9499999999999993" hidden="1" customHeight="1" x14ac:dyDescent="0.2">
      <c r="C14" s="3" t="s">
        <v>36</v>
      </c>
      <c r="D14" s="4" t="str">
        <f>IF(CELDA_FALLA="","Vacio",CELDA_FALLA)</f>
        <v>BATERIA NO CARGA</v>
      </c>
      <c r="E14" s="27"/>
      <c r="F14" s="30" t="s">
        <v>37</v>
      </c>
      <c r="G14" s="31" t="s">
        <v>38</v>
      </c>
      <c r="H14" s="10"/>
    </row>
    <row r="15" spans="3:13" s="2" customFormat="1" ht="9.9499999999999993" hidden="1" customHeight="1" x14ac:dyDescent="0.2">
      <c r="C15" s="3" t="s">
        <v>39</v>
      </c>
      <c r="D15" s="4" t="str">
        <f>IF(CELDA_INFORME_TECNICO="","Vacio",CELDA_INFORME_TECNICO)</f>
        <v>FALLA INTERNA DE FABRICA</v>
      </c>
      <c r="E15" s="27"/>
      <c r="F15" s="32" t="s">
        <v>40</v>
      </c>
      <c r="G15" s="33">
        <v>0</v>
      </c>
      <c r="H15" s="10"/>
    </row>
    <row r="16" spans="3:13" s="2" customFormat="1" ht="9.9499999999999993" hidden="1" customHeight="1" x14ac:dyDescent="0.2">
      <c r="C16" s="3" t="s">
        <v>41</v>
      </c>
      <c r="D16" s="4" t="str">
        <f>CONCATENATE(SUSTENTO_COMENTARIO_LINEA1," ",SUSTENTO_COMENTARIO_LINEA2," ",SUSTENTO_COMENTARIO_LINEA3," ",SUSTENTO_COMENTARIO_LINEA4," ",SUSTENTO_COMENTARIO_LINEA5," ",SUSTENTO_COMENTARIO_LINEA6," ",SUSTENTO_COMENTARIO_LINEA7," ",SUSTENTO_COMENTARIO_LINEA8)</f>
        <v xml:space="preserve">SEGÚN EL ANALIZADOR, SE ENCONTRÓ QUE UNA DE LAS BATERÍAS NO PRESENTA SOBRECARGA, MIENTRAS QUE LA OTRA SÍ, CON UN VALOR DEL 15%. ASIMISMO, LAS BATERÍAS REGISTRAN POCAS CARGAS, LO QUE DEMUESTRA QUE EN SU HISTORIAL NO HAN SUFRIDO SOBRECARGAS CONSTANTES NI SOBREDESCARGAS. PROCEDE GARANTIA       </v>
      </c>
      <c r="E16" s="34" t="s">
        <v>3</v>
      </c>
      <c r="F16" s="35" t="s">
        <v>42</v>
      </c>
      <c r="G16" s="36">
        <v>28</v>
      </c>
      <c r="H16" s="10"/>
    </row>
    <row r="17" spans="1:13" s="2" customFormat="1" ht="9.9499999999999993" hidden="1" customHeight="1" x14ac:dyDescent="0.2">
      <c r="C17" s="37" t="s">
        <v>43</v>
      </c>
      <c r="D17" s="4">
        <f>ELIJA_UNA_CATEGORIA_D_FALLA</f>
        <v>0</v>
      </c>
      <c r="E17" s="38" t="s">
        <v>44</v>
      </c>
      <c r="F17" s="39" t="s">
        <v>45</v>
      </c>
      <c r="G17" s="36">
        <v>40</v>
      </c>
      <c r="H17" s="10"/>
    </row>
    <row r="18" spans="1:13" s="2" customFormat="1" ht="9.9499999999999993" hidden="1" customHeight="1" x14ac:dyDescent="0.2">
      <c r="C18" s="37" t="s">
        <v>46</v>
      </c>
      <c r="D18" s="4">
        <f>ELIJA_UN_CODIGO_D_FALLA</f>
        <v>0</v>
      </c>
      <c r="E18" s="38" t="s">
        <v>47</v>
      </c>
      <c r="F18" s="40" t="s">
        <v>48</v>
      </c>
      <c r="G18" s="36">
        <v>65</v>
      </c>
      <c r="H18" s="10"/>
    </row>
    <row r="19" spans="1:13" s="2" customFormat="1" ht="9.9499999999999993" hidden="1" customHeight="1" x14ac:dyDescent="0.2">
      <c r="C19" s="3" t="s">
        <v>49</v>
      </c>
      <c r="D19" s="4" t="str">
        <f>IF(CELDA_TECNICO_DEL_STA="", "Vacio",CELDA_TECNICO_DEL_STA)</f>
        <v>Vacio</v>
      </c>
      <c r="E19" s="41" t="s">
        <v>50</v>
      </c>
      <c r="F19" s="42" t="s">
        <v>51</v>
      </c>
      <c r="G19" s="43"/>
    </row>
    <row r="20" spans="1:13" s="2" customFormat="1" ht="9.9499999999999993" hidden="1" customHeight="1" x14ac:dyDescent="0.2">
      <c r="C20" s="3" t="s">
        <v>52</v>
      </c>
      <c r="D20" s="44" t="str">
        <f>IF(CELDA_F_DE_EMISION_STA="","Vacio",CELDA_F_DE_EMISION_STA)</f>
        <v>Vacio</v>
      </c>
      <c r="E20" s="45" t="s">
        <v>53</v>
      </c>
      <c r="F20" s="46" t="s">
        <v>54</v>
      </c>
      <c r="G20" s="43"/>
    </row>
    <row r="21" spans="1:13" s="2" customFormat="1" ht="9.9499999999999993" hidden="1" customHeight="1" x14ac:dyDescent="0.2">
      <c r="C21" s="3" t="s">
        <v>55</v>
      </c>
      <c r="D21" s="44" t="str">
        <f>IF(CELDA_NOMBRE_MPE="","Vacio",CELDA_NOMBRE_MPE)</f>
        <v>Gerardo Gabriel</v>
      </c>
      <c r="E21" s="47" t="s">
        <v>56</v>
      </c>
      <c r="F21" s="48" t="s">
        <v>57</v>
      </c>
      <c r="G21" s="27"/>
      <c r="H21" s="10"/>
    </row>
    <row r="22" spans="1:13" s="2" customFormat="1" ht="9.9499999999999993" hidden="1" customHeight="1" x14ac:dyDescent="0.2">
      <c r="C22" s="3" t="s">
        <v>58</v>
      </c>
      <c r="D22" s="44" t="str">
        <f>IF(CELDA_FALTAN_DATOS=G3,CELDA_FALTAN_DATOS,CONCATENATE(CELDA_PRIMERA_LINEA_COMENTARIO_MPE," ",CELDA_SEGUNDA_LINEA_COMENTARIO_MPE," ",CELDA_TERCERA_LINEA_COMENTARIO_MPE))</f>
        <v xml:space="preserve"> Procede Garantia </v>
      </c>
      <c r="E22" s="47" t="s">
        <v>59</v>
      </c>
      <c r="F22" s="48" t="s">
        <v>60</v>
      </c>
      <c r="G22" s="49" t="s">
        <v>61</v>
      </c>
      <c r="H22" s="26">
        <f>IF(CELDA_DISTRIBUIDOR="",1,0)</f>
        <v>1</v>
      </c>
      <c r="J22" s="50"/>
    </row>
    <row r="23" spans="1:13" s="2" customFormat="1" ht="9.9499999999999993" hidden="1" customHeight="1" x14ac:dyDescent="0.2">
      <c r="C23" s="3" t="s">
        <v>62</v>
      </c>
      <c r="D23" s="51">
        <f>IF(CELDA_F_AUTORIZACION="","Vacio",CELDA_F_AUTORIZACION)</f>
        <v>46223</v>
      </c>
      <c r="E23" s="47" t="s">
        <v>63</v>
      </c>
      <c r="F23" s="52" t="s">
        <v>64</v>
      </c>
      <c r="G23" s="53" t="s">
        <v>65</v>
      </c>
      <c r="H23" s="10"/>
    </row>
    <row r="24" spans="1:13" s="2" customFormat="1" ht="9.9499999999999993" hidden="1" customHeight="1" x14ac:dyDescent="0.2">
      <c r="C24" s="54" t="s">
        <v>66</v>
      </c>
      <c r="D24" s="55">
        <f>IF(ELIJA_MANO_D_OBRA="","Vacio",ELIJA_MANO_D_OBRA)</f>
        <v>28</v>
      </c>
      <c r="E24" s="56" t="s">
        <v>67</v>
      </c>
      <c r="F24" s="57" t="s">
        <v>68</v>
      </c>
      <c r="G24" s="58" t="s">
        <v>69</v>
      </c>
      <c r="H24" s="10"/>
    </row>
    <row r="25" spans="1:13" s="2" customFormat="1" ht="50.1" customHeight="1" x14ac:dyDescent="0.45">
      <c r="A25" s="59" t="s">
        <v>70</v>
      </c>
      <c r="B25" s="60" t="s">
        <v>70</v>
      </c>
      <c r="C25" s="249" t="s">
        <v>71</v>
      </c>
      <c r="D25" s="249"/>
      <c r="E25" s="249"/>
      <c r="F25" s="249"/>
      <c r="G25" s="249"/>
      <c r="H25" s="10"/>
    </row>
    <row r="26" spans="1:13" s="2" customFormat="1" ht="9.9499999999999993" customHeight="1" x14ac:dyDescent="0.45">
      <c r="A26" s="62"/>
      <c r="B26" s="63"/>
      <c r="C26" s="61"/>
      <c r="D26" s="61"/>
      <c r="E26" s="61"/>
      <c r="F26" s="61"/>
      <c r="G26" s="61"/>
      <c r="H26" s="10"/>
    </row>
    <row r="27" spans="1:13" s="2" customFormat="1" ht="18" customHeight="1" x14ac:dyDescent="0.2">
      <c r="A27" s="62"/>
      <c r="B27" s="63"/>
      <c r="C27" s="64" t="s">
        <v>72</v>
      </c>
      <c r="D27" s="65" t="s">
        <v>909</v>
      </c>
      <c r="E27" s="66"/>
      <c r="F27" s="25" t="s">
        <v>73</v>
      </c>
      <c r="G27" s="67">
        <v>612</v>
      </c>
      <c r="H27" s="26">
        <f>IF(CELDA_OT="",1,0)</f>
        <v>0</v>
      </c>
    </row>
    <row r="28" spans="1:13" s="2" customFormat="1" ht="18" customHeight="1" x14ac:dyDescent="0.2">
      <c r="A28" s="62"/>
      <c r="B28" s="63"/>
      <c r="C28" s="1"/>
      <c r="E28" s="66"/>
      <c r="H28" s="66"/>
      <c r="M28" s="68"/>
    </row>
    <row r="29" spans="1:13" s="2" customFormat="1" ht="15.95" customHeight="1" x14ac:dyDescent="0.25">
      <c r="A29" s="62"/>
      <c r="B29" s="63"/>
      <c r="C29" s="25" t="s">
        <v>74</v>
      </c>
      <c r="D29" s="69" t="s">
        <v>75</v>
      </c>
      <c r="E29" s="26">
        <f>IF(CELDA_RUC_DEL_SERVICIO_TECNICO="",1,0)</f>
        <v>0</v>
      </c>
      <c r="H29" s="66"/>
      <c r="I29" s="70"/>
      <c r="M29" s="68"/>
    </row>
    <row r="30" spans="1:13" s="2" customFormat="1" ht="15.95" customHeight="1" x14ac:dyDescent="0.2">
      <c r="A30" s="62"/>
      <c r="B30" s="63"/>
      <c r="C30" s="25" t="s">
        <v>76</v>
      </c>
      <c r="D30" s="71" t="str">
        <f>IFERROR(VLOOKUP(CELDA_RUC_DEL_SERVICIO_TECNICO,BASE_STA!B10:O200,2,FALSE),"")</f>
        <v>QUISPE PARI FREDY</v>
      </c>
      <c r="E30" s="26">
        <f>IF(CELDA_NOMBRE_DEL_SERVICO_TECNICO="",1,0)</f>
        <v>0</v>
      </c>
      <c r="H30" s="66"/>
      <c r="M30" s="68"/>
    </row>
    <row r="31" spans="1:13" s="2" customFormat="1" ht="14.45" customHeight="1" x14ac:dyDescent="0.2">
      <c r="A31" s="62"/>
      <c r="B31" s="63"/>
      <c r="C31" s="25" t="s">
        <v>77</v>
      </c>
      <c r="D31" s="72" t="str">
        <f>CONCATENATE(IFERROR(VLOOKUP(CELDA_RUC_DEL_SERVICIO_TECNICO,BASE_STA!B10:O200,6,FALSE),""))</f>
        <v>AV. JESUS 100 C.C.DIVINO JESUS INT. 16, AREQUIPA</v>
      </c>
      <c r="E31" s="60" t="s">
        <v>3</v>
      </c>
      <c r="H31" s="66"/>
      <c r="M31" s="68"/>
    </row>
    <row r="32" spans="1:13" s="2" customFormat="1" ht="14.45" customHeight="1" x14ac:dyDescent="0.2">
      <c r="A32" s="62"/>
      <c r="B32" s="63"/>
      <c r="C32" s="25" t="s">
        <v>78</v>
      </c>
      <c r="D32" s="72" t="str">
        <f>IF(CELDA_RUC_DEL_SERVICIO_TECNICO="","",CONCATENATE("",IFERROR(VLOOKUP(CELDA_RUC_DEL_SERVICIO_TECNICO,BASE_STA!B10:O200,3,FALSE),"")," - ",IFERROR(VLOOKUP(CELDA_RUC_DEL_SERVICIO_TECNICO,BASE_STA!B10:O200,4,FALSE),"")," - ",IFERROR(VLOOKUP(CELDA_RUC_DEL_SERVICIO_TECNICO,BASE_STA!B10:O200,5,FALSE),""),""))</f>
        <v>AREQUIPA - AREQUIPA - AREQUIPA</v>
      </c>
      <c r="E32" s="26"/>
      <c r="H32" s="66"/>
    </row>
    <row r="33" spans="1:12" s="2" customFormat="1" ht="14.45" hidden="1" customHeight="1" x14ac:dyDescent="0.2">
      <c r="A33" s="62"/>
      <c r="B33" s="63"/>
      <c r="C33" s="25" t="s">
        <v>79</v>
      </c>
      <c r="D33" s="73" t="str">
        <f>CONCATENATE(IFERROR(VLOOKUP(CELDA_RUC_DEL_SERVICIO_TECNICO,BASE_STA!B10:O100,9,FALSE),""))</f>
        <v>FREDY QUISPE</v>
      </c>
      <c r="E33" s="26"/>
      <c r="H33" s="66"/>
    </row>
    <row r="34" spans="1:12" s="2" customFormat="1" ht="14.45" customHeight="1" x14ac:dyDescent="0.2">
      <c r="A34" s="62"/>
      <c r="B34" s="63"/>
      <c r="C34" s="25" t="s">
        <v>80</v>
      </c>
      <c r="D34" s="74" t="str">
        <f>CONCATENATE(IFERROR(VLOOKUP(CELDA_RUC_DEL_SERVICIO_TECNICO,BASE_STA!B10:O200,8,FALSE),""))</f>
        <v>935829261 / 959613059</v>
      </c>
      <c r="E34" s="26"/>
      <c r="H34" s="66"/>
    </row>
    <row r="35" spans="1:12" s="2" customFormat="1" ht="18" customHeight="1" x14ac:dyDescent="0.2">
      <c r="B35" s="63"/>
      <c r="D35" s="75"/>
      <c r="E35" s="76"/>
      <c r="F35" s="14"/>
      <c r="G35" s="27"/>
      <c r="H35" s="77"/>
    </row>
    <row r="36" spans="1:12" s="2" customFormat="1" ht="15.95" customHeight="1" x14ac:dyDescent="0.25">
      <c r="A36" s="62"/>
      <c r="B36" s="63"/>
      <c r="C36" s="25" t="s">
        <v>81</v>
      </c>
      <c r="D36" s="69" t="s">
        <v>82</v>
      </c>
      <c r="E36" s="26">
        <f>IF(CELDA_RUC_CLIENTE="",1,0)</f>
        <v>0</v>
      </c>
      <c r="F36" s="25" t="s">
        <v>83</v>
      </c>
      <c r="G36" s="78">
        <v>46213</v>
      </c>
      <c r="H36" s="26">
        <f>IF(CELDA_F_RECEPCION="",1,0)</f>
        <v>0</v>
      </c>
      <c r="L36" s="79"/>
    </row>
    <row r="37" spans="1:12" s="2" customFormat="1" ht="15.95" customHeight="1" x14ac:dyDescent="0.2">
      <c r="A37" s="62"/>
      <c r="B37" s="63"/>
      <c r="C37" s="25" t="s">
        <v>84</v>
      </c>
      <c r="D37" s="80" t="s">
        <v>85</v>
      </c>
      <c r="E37" s="26">
        <f>IF(CELDA_NOMBRE_CLIENTE="",1,0)</f>
        <v>0</v>
      </c>
      <c r="F37" s="25" t="s">
        <v>86</v>
      </c>
      <c r="G37" s="81">
        <v>46209</v>
      </c>
      <c r="H37" s="26">
        <f>IF(CELDA_F_COMPRA="",1,0)</f>
        <v>0</v>
      </c>
    </row>
    <row r="38" spans="1:12" s="2" customFormat="1" ht="14.25" customHeight="1" x14ac:dyDescent="0.2">
      <c r="A38" s="62"/>
      <c r="B38" s="63"/>
      <c r="C38" s="25" t="s">
        <v>87</v>
      </c>
      <c r="D38" s="82" t="s">
        <v>88</v>
      </c>
      <c r="E38" s="26">
        <f>IF(CELDA_DIRECCION_CLIENTE="",1,0)</f>
        <v>0</v>
      </c>
      <c r="F38" s="25" t="s">
        <v>89</v>
      </c>
      <c r="G38" s="83" t="s">
        <v>90</v>
      </c>
      <c r="H38" s="26">
        <f>IF(CELDA_BOLETA_FACTURA="",1,0)</f>
        <v>0</v>
      </c>
    </row>
    <row r="39" spans="1:12" s="2" customFormat="1" ht="14.25" customHeight="1" x14ac:dyDescent="0.2">
      <c r="A39" s="62"/>
      <c r="B39" s="63"/>
      <c r="C39" s="25" t="s">
        <v>91</v>
      </c>
      <c r="D39" s="82" t="s">
        <v>92</v>
      </c>
      <c r="E39" s="26">
        <f>IF(CELDA_CIUDAD_CLIENTE="",1,0)</f>
        <v>0</v>
      </c>
    </row>
    <row r="40" spans="1:12" s="2" customFormat="1" ht="14.25" customHeight="1" x14ac:dyDescent="0.2">
      <c r="A40" s="62"/>
      <c r="B40" s="63"/>
      <c r="C40" s="25" t="s">
        <v>93</v>
      </c>
      <c r="D40" s="84">
        <v>912421367</v>
      </c>
      <c r="E40" s="26">
        <f>IF(CELDA_TELEFONO_CLIENTE="",1,0)</f>
        <v>0</v>
      </c>
      <c r="F40" s="25" t="s">
        <v>94</v>
      </c>
      <c r="G40" s="85"/>
    </row>
    <row r="41" spans="1:12" s="2" customFormat="1" ht="18" customHeight="1" x14ac:dyDescent="0.2">
      <c r="A41" s="62"/>
      <c r="B41" s="63"/>
      <c r="H41" s="26" t="s">
        <v>3</v>
      </c>
    </row>
    <row r="42" spans="1:12" s="2" customFormat="1" ht="9" hidden="1" customHeight="1" x14ac:dyDescent="0.2">
      <c r="A42" s="62"/>
      <c r="B42" s="63"/>
      <c r="E42" s="66"/>
      <c r="H42" s="26" t="s">
        <v>3</v>
      </c>
    </row>
    <row r="43" spans="1:12" s="2" customFormat="1" ht="9" hidden="1" customHeight="1" x14ac:dyDescent="0.2">
      <c r="A43" s="62"/>
      <c r="B43" s="63"/>
      <c r="E43" s="66"/>
      <c r="H43" s="66"/>
    </row>
    <row r="44" spans="1:12" s="2" customFormat="1" ht="15.95" customHeight="1" x14ac:dyDescent="0.2">
      <c r="A44" s="62"/>
      <c r="B44" s="63"/>
      <c r="C44" s="86" t="s">
        <v>31</v>
      </c>
      <c r="D44" s="87" t="s">
        <v>95</v>
      </c>
      <c r="E44" s="88">
        <f>IF(CELDA_MODELO="",1,0)</f>
        <v>0</v>
      </c>
      <c r="F44" s="89" t="s">
        <v>96</v>
      </c>
      <c r="G44" s="90" t="s">
        <v>97</v>
      </c>
      <c r="H44" s="26">
        <f>IF(CELDA_SERIE="",1,0)</f>
        <v>0</v>
      </c>
    </row>
    <row r="45" spans="1:12" s="2" customFormat="1" ht="9.9499999999999993" customHeight="1" x14ac:dyDescent="0.2">
      <c r="A45" s="62"/>
      <c r="B45" s="63"/>
      <c r="C45" s="1"/>
      <c r="D45" s="1"/>
      <c r="E45" s="1"/>
      <c r="F45" s="1"/>
      <c r="G45" s="1"/>
    </row>
    <row r="46" spans="1:12" s="27" customFormat="1" ht="15.95" customHeight="1" x14ac:dyDescent="0.2">
      <c r="A46" s="2"/>
      <c r="B46" s="63"/>
      <c r="C46" s="91" t="s">
        <v>98</v>
      </c>
      <c r="D46" s="92" t="s">
        <v>99</v>
      </c>
      <c r="E46" s="93" t="s">
        <v>100</v>
      </c>
      <c r="F46" s="250" t="s">
        <v>3</v>
      </c>
      <c r="G46" s="251"/>
    </row>
    <row r="47" spans="1:12" s="62" customFormat="1" ht="12.6" hidden="1" customHeight="1" x14ac:dyDescent="0.2">
      <c r="A47" s="21"/>
      <c r="B47" s="21"/>
      <c r="C47" s="94" t="s">
        <v>101</v>
      </c>
      <c r="D47" s="95"/>
      <c r="E47" s="96"/>
      <c r="F47" s="97"/>
      <c r="G47" s="98"/>
      <c r="J47" s="99"/>
      <c r="L47" s="99"/>
    </row>
    <row r="48" spans="1:12" s="62" customFormat="1" ht="12.6" customHeight="1" x14ac:dyDescent="0.2">
      <c r="B48" s="21"/>
      <c r="C48" s="94" t="s">
        <v>910</v>
      </c>
      <c r="D48" s="95" t="s">
        <v>911</v>
      </c>
      <c r="E48" s="96">
        <v>2</v>
      </c>
      <c r="F48" s="97" t="s">
        <v>912</v>
      </c>
      <c r="G48" s="98"/>
      <c r="J48" s="99"/>
      <c r="L48" s="99"/>
    </row>
    <row r="49" spans="1:12" s="62" customFormat="1" ht="12.6" customHeight="1" x14ac:dyDescent="0.2">
      <c r="B49" s="21"/>
      <c r="C49" s="94"/>
      <c r="D49" s="95"/>
      <c r="E49" s="96"/>
      <c r="F49" s="97"/>
      <c r="G49" s="98"/>
      <c r="J49" s="99"/>
      <c r="L49" s="99"/>
    </row>
    <row r="50" spans="1:12" s="62" customFormat="1" ht="12.6" customHeight="1" x14ac:dyDescent="0.2">
      <c r="B50" s="21"/>
      <c r="C50" s="94"/>
      <c r="D50" s="95"/>
      <c r="E50" s="96"/>
      <c r="F50" s="97"/>
      <c r="G50" s="98"/>
      <c r="J50" s="99"/>
      <c r="L50" s="99"/>
    </row>
    <row r="51" spans="1:12" s="62" customFormat="1" ht="12.6" customHeight="1" x14ac:dyDescent="0.2">
      <c r="B51" s="21"/>
      <c r="C51" s="94"/>
      <c r="D51" s="95"/>
      <c r="E51" s="96"/>
      <c r="F51" s="97"/>
      <c r="G51" s="98"/>
      <c r="J51" s="99"/>
      <c r="L51" s="99"/>
    </row>
    <row r="52" spans="1:12" s="62" customFormat="1" ht="12.6" customHeight="1" x14ac:dyDescent="0.2">
      <c r="B52" s="21"/>
      <c r="C52" s="94"/>
      <c r="D52" s="95"/>
      <c r="E52" s="96"/>
      <c r="F52" s="97"/>
      <c r="G52" s="98"/>
      <c r="J52" s="99"/>
      <c r="L52" s="99"/>
    </row>
    <row r="53" spans="1:12" s="62" customFormat="1" ht="12.6" customHeight="1" x14ac:dyDescent="0.2">
      <c r="B53" s="21"/>
      <c r="C53" s="94"/>
      <c r="D53" s="95"/>
      <c r="E53" s="96"/>
      <c r="F53" s="97"/>
      <c r="G53" s="98"/>
      <c r="J53" s="99"/>
      <c r="L53" s="99"/>
    </row>
    <row r="54" spans="1:12" s="2" customFormat="1" ht="9.9499999999999993" customHeight="1" x14ac:dyDescent="0.2">
      <c r="A54" s="62"/>
      <c r="B54" s="62"/>
      <c r="C54" s="100"/>
      <c r="D54" s="101"/>
      <c r="E54" s="102"/>
      <c r="F54" s="103"/>
      <c r="G54" s="104"/>
      <c r="H54" s="62"/>
      <c r="J54" s="34"/>
      <c r="L54" s="34"/>
    </row>
    <row r="55" spans="1:12" s="2" customFormat="1" ht="15" customHeight="1" x14ac:dyDescent="0.2">
      <c r="A55" s="62"/>
      <c r="B55" s="60" t="s">
        <v>70</v>
      </c>
      <c r="C55" s="60" t="str">
        <f>CONCATENATE("[TOTAL DE CODIGOS]:   ",SUM(COUNTA(RG_CODIGOS)-1))</f>
        <v>[TOTAL DE CODIGOS]:   1</v>
      </c>
      <c r="J55" s="34"/>
      <c r="K55" s="27"/>
      <c r="L55" s="34"/>
    </row>
    <row r="56" spans="1:12" s="27" customFormat="1" ht="15.95" customHeight="1" x14ac:dyDescent="0.2">
      <c r="A56" s="62"/>
      <c r="B56" s="2"/>
      <c r="C56" s="252" t="s">
        <v>102</v>
      </c>
      <c r="D56" s="253"/>
      <c r="E56" s="253"/>
      <c r="F56" s="253"/>
      <c r="G56" s="254"/>
      <c r="J56" s="99"/>
      <c r="K56" s="62"/>
      <c r="L56" s="99"/>
    </row>
    <row r="57" spans="1:12" s="2" customFormat="1" ht="15" customHeight="1" x14ac:dyDescent="0.2">
      <c r="A57" s="62"/>
      <c r="B57" s="27"/>
      <c r="C57" s="105" t="s">
        <v>103</v>
      </c>
      <c r="D57" s="106" t="s">
        <v>104</v>
      </c>
      <c r="E57" s="107">
        <f>IF(CELDA_FALLA="",1,0)</f>
        <v>0</v>
      </c>
      <c r="F57" s="108"/>
      <c r="G57" s="109"/>
      <c r="J57" s="34"/>
      <c r="L57" s="34"/>
    </row>
    <row r="58" spans="1:12" s="2" customFormat="1" ht="15" customHeight="1" x14ac:dyDescent="0.2">
      <c r="A58" s="62"/>
      <c r="C58" s="105" t="s">
        <v>105</v>
      </c>
      <c r="D58" s="85" t="s">
        <v>106</v>
      </c>
      <c r="E58" s="110">
        <f>IF(CELDA_INFORME_TECNICO="",1,0)</f>
        <v>0</v>
      </c>
      <c r="F58" s="111"/>
      <c r="G58" s="112"/>
      <c r="K58" s="113"/>
    </row>
    <row r="59" spans="1:12" s="2" customFormat="1" ht="8.1" hidden="1" customHeight="1" x14ac:dyDescent="0.2">
      <c r="A59" s="62"/>
      <c r="C59" s="114"/>
      <c r="D59" s="115"/>
      <c r="E59" s="116"/>
      <c r="F59" s="116"/>
      <c r="G59" s="117"/>
    </row>
    <row r="60" spans="1:12" s="2" customFormat="1" ht="18" customHeight="1" x14ac:dyDescent="0.2">
      <c r="A60" s="62"/>
      <c r="C60" s="255" t="s">
        <v>107</v>
      </c>
      <c r="D60" s="256"/>
      <c r="E60" s="256"/>
      <c r="F60" s="256"/>
      <c r="G60" s="118"/>
    </row>
    <row r="61" spans="1:12" s="2" customFormat="1" ht="92.1" customHeight="1" x14ac:dyDescent="0.2">
      <c r="A61" s="62"/>
      <c r="C61" s="257" t="s">
        <v>108</v>
      </c>
      <c r="D61" s="258"/>
      <c r="E61" s="258"/>
      <c r="F61" s="258"/>
      <c r="G61" s="259"/>
      <c r="H61" s="26">
        <f>IF(SUSTENTO_COMENTARIO_LINEA1="",1,0)</f>
        <v>0</v>
      </c>
    </row>
    <row r="62" spans="1:12" s="2" customFormat="1" ht="13.5" hidden="1" customHeight="1" x14ac:dyDescent="0.2">
      <c r="A62" s="62"/>
      <c r="C62" s="260"/>
      <c r="D62" s="261"/>
      <c r="E62" s="261"/>
      <c r="F62" s="261"/>
      <c r="G62" s="262"/>
      <c r="H62" s="34"/>
    </row>
    <row r="63" spans="1:12" s="2" customFormat="1" ht="13.5" hidden="1" customHeight="1" x14ac:dyDescent="0.2">
      <c r="A63" s="62"/>
      <c r="C63" s="263"/>
      <c r="D63" s="264"/>
      <c r="E63" s="264"/>
      <c r="F63" s="264"/>
      <c r="G63" s="265"/>
      <c r="H63" s="34"/>
    </row>
    <row r="64" spans="1:12" s="2" customFormat="1" ht="13.5" hidden="1" customHeight="1" x14ac:dyDescent="0.2">
      <c r="A64" s="62"/>
      <c r="C64" s="263"/>
      <c r="D64" s="264"/>
      <c r="E64" s="264"/>
      <c r="F64" s="264"/>
      <c r="G64" s="265"/>
      <c r="H64" s="34"/>
    </row>
    <row r="65" spans="1:10" s="2" customFormat="1" ht="13.5" hidden="1" customHeight="1" x14ac:dyDescent="0.2">
      <c r="A65" s="62"/>
      <c r="C65" s="263"/>
      <c r="D65" s="264"/>
      <c r="E65" s="264"/>
      <c r="F65" s="264"/>
      <c r="G65" s="265"/>
    </row>
    <row r="66" spans="1:10" s="2" customFormat="1" ht="13.5" hidden="1" customHeight="1" x14ac:dyDescent="0.2">
      <c r="A66" s="62"/>
      <c r="C66" s="263"/>
      <c r="D66" s="264"/>
      <c r="E66" s="264"/>
      <c r="F66" s="264"/>
      <c r="G66" s="265"/>
    </row>
    <row r="67" spans="1:10" s="2" customFormat="1" ht="13.5" hidden="1" customHeight="1" x14ac:dyDescent="0.2">
      <c r="A67" s="62"/>
      <c r="C67" s="263"/>
      <c r="D67" s="264"/>
      <c r="E67" s="264"/>
      <c r="F67" s="264"/>
      <c r="G67" s="265"/>
    </row>
    <row r="68" spans="1:10" s="2" customFormat="1" ht="13.5" hidden="1" customHeight="1" x14ac:dyDescent="0.2">
      <c r="A68" s="62"/>
      <c r="C68" s="266"/>
      <c r="D68" s="267"/>
      <c r="E68" s="267"/>
      <c r="F68" s="267"/>
      <c r="G68" s="268"/>
    </row>
    <row r="69" spans="1:10" s="2" customFormat="1" ht="13.5" customHeight="1" x14ac:dyDescent="0.2">
      <c r="A69" s="62"/>
    </row>
    <row r="70" spans="1:10" s="27" customFormat="1" ht="15.95" customHeight="1" x14ac:dyDescent="0.2">
      <c r="A70" s="62"/>
      <c r="B70" s="2"/>
      <c r="C70" s="119" t="s">
        <v>109</v>
      </c>
      <c r="D70" s="120" t="s">
        <v>40</v>
      </c>
      <c r="F70" s="121" t="s">
        <v>110</v>
      </c>
      <c r="G70" s="122" t="s">
        <v>111</v>
      </c>
    </row>
    <row r="71" spans="1:10" s="27" customFormat="1" ht="15.95" customHeight="1" x14ac:dyDescent="0.2">
      <c r="A71" s="62"/>
      <c r="B71" s="2"/>
      <c r="E71" s="123"/>
      <c r="F71" s="124" t="s">
        <v>112</v>
      </c>
      <c r="G71" s="125">
        <v>46223</v>
      </c>
      <c r="I71" s="126"/>
    </row>
    <row r="72" spans="1:10" s="2" customFormat="1" ht="15.95" customHeight="1" x14ac:dyDescent="0.2">
      <c r="A72" s="62"/>
      <c r="C72" s="127" t="str">
        <f>CONCATENATE("Comentario MPE ", "(",IF(E10=E6,"L",IF(E10=E7,"P",IF(E10=E8,"S",""))),"):")</f>
        <v>Comentario MPE (L):</v>
      </c>
      <c r="D72" s="128"/>
      <c r="F72" s="129" t="s">
        <v>113</v>
      </c>
      <c r="G72" s="130"/>
      <c r="H72" s="27"/>
      <c r="I72" s="131"/>
      <c r="J72" s="132"/>
    </row>
    <row r="73" spans="1:10" s="2" customFormat="1" ht="15.95" customHeight="1" x14ac:dyDescent="0.2">
      <c r="A73" s="62"/>
      <c r="C73" s="269" t="s">
        <v>61</v>
      </c>
      <c r="D73" s="270"/>
      <c r="F73" s="133" t="s">
        <v>114</v>
      </c>
      <c r="G73" s="134"/>
      <c r="H73" s="27"/>
    </row>
    <row r="74" spans="1:10" s="2" customFormat="1" ht="15.95" customHeight="1" x14ac:dyDescent="0.2">
      <c r="A74" s="62"/>
      <c r="C74" s="271"/>
      <c r="D74" s="272"/>
      <c r="E74" s="135"/>
      <c r="F74" s="1"/>
      <c r="H74" s="136"/>
    </row>
    <row r="75" spans="1:10" s="2" customFormat="1" ht="16.7" customHeight="1" x14ac:dyDescent="0.2">
      <c r="A75" s="62"/>
      <c r="C75" s="273" t="str">
        <f>IF(SUM(RANGO_SUMA_CLIENTE,RANGO_SUMA_DATOS_DOC,RANGO_SUMA_FALLA_Y_DEBIDOA,RANGO_SUMA_MODELO,RANGO_SUMA_OT,RANGO_SUMA_SERIE,RANGO_SUMA_ST_STMPE,RANGO_SUMA_SUSTENTO_COMENTARIO)&lt;&gt;0,G3,G2)</f>
        <v>Para valuar el Formulario enviar a: serviciotecnicompe@makita.pe</v>
      </c>
      <c r="D75" s="274"/>
      <c r="E75" s="137"/>
      <c r="F75" s="138" t="s">
        <v>115</v>
      </c>
      <c r="G75" s="139">
        <v>28</v>
      </c>
    </row>
    <row r="76" spans="1:10" s="2" customFormat="1" ht="13.5" hidden="1" customHeight="1" x14ac:dyDescent="0.2">
      <c r="A76" s="62"/>
      <c r="C76" s="140"/>
      <c r="D76" s="140"/>
      <c r="E76" s="141"/>
      <c r="F76" s="140"/>
      <c r="G76" s="140"/>
    </row>
    <row r="77" spans="1:10" s="2" customFormat="1" ht="13.5" hidden="1" customHeight="1" x14ac:dyDescent="0.2">
      <c r="A77" s="62"/>
      <c r="C77" s="275" t="s">
        <v>116</v>
      </c>
      <c r="D77" s="275"/>
      <c r="E77" s="275"/>
      <c r="F77" s="275"/>
      <c r="G77" s="275"/>
    </row>
    <row r="78" spans="1:10" s="2" customFormat="1" ht="13.5" customHeight="1" x14ac:dyDescent="0.2">
      <c r="A78" s="62"/>
      <c r="C78" s="141"/>
      <c r="D78" s="141"/>
      <c r="E78" s="141"/>
      <c r="F78" s="141"/>
      <c r="G78" s="141"/>
    </row>
    <row r="79" spans="1:10" s="2" customFormat="1" ht="12.75" customHeight="1" x14ac:dyDescent="0.2">
      <c r="A79" s="62"/>
      <c r="C79" s="276" t="s">
        <v>117</v>
      </c>
      <c r="D79" s="277"/>
      <c r="E79" s="277"/>
      <c r="F79" s="277"/>
      <c r="G79" s="277"/>
      <c r="H79" s="278"/>
    </row>
    <row r="80" spans="1:10" s="2" customFormat="1" ht="12.75" customHeight="1" x14ac:dyDescent="0.2">
      <c r="A80" s="62"/>
      <c r="C80" s="279"/>
      <c r="D80" s="280"/>
      <c r="E80" s="280"/>
      <c r="F80" s="280"/>
      <c r="G80" s="280"/>
      <c r="H80" s="281"/>
    </row>
    <row r="81" spans="1:8" s="2" customFormat="1" ht="12.75" customHeight="1" x14ac:dyDescent="0.2">
      <c r="A81" s="62"/>
      <c r="C81" s="279"/>
      <c r="D81" s="280"/>
      <c r="E81" s="280"/>
      <c r="F81" s="280"/>
      <c r="G81" s="280"/>
      <c r="H81" s="281"/>
    </row>
    <row r="82" spans="1:8" s="2" customFormat="1" ht="12.75" customHeight="1" x14ac:dyDescent="0.2">
      <c r="A82" s="62"/>
      <c r="C82" s="279"/>
      <c r="D82" s="280"/>
      <c r="E82" s="280"/>
      <c r="F82" s="280"/>
      <c r="G82" s="280"/>
      <c r="H82" s="281"/>
    </row>
    <row r="83" spans="1:8" s="2" customFormat="1" ht="12.75" customHeight="1" x14ac:dyDescent="0.2">
      <c r="A83" s="62"/>
      <c r="C83" s="279"/>
      <c r="D83" s="280"/>
      <c r="E83" s="280"/>
      <c r="F83" s="280"/>
      <c r="G83" s="280"/>
      <c r="H83" s="281"/>
    </row>
    <row r="84" spans="1:8" s="2" customFormat="1" ht="12.75" customHeight="1" x14ac:dyDescent="0.2">
      <c r="A84" s="62"/>
      <c r="C84" s="279"/>
      <c r="D84" s="280"/>
      <c r="E84" s="280"/>
      <c r="F84" s="280"/>
      <c r="G84" s="280"/>
      <c r="H84" s="281"/>
    </row>
    <row r="85" spans="1:8" s="2" customFormat="1" ht="12.75" customHeight="1" x14ac:dyDescent="0.2">
      <c r="A85" s="62"/>
      <c r="C85" s="279"/>
      <c r="D85" s="280"/>
      <c r="E85" s="280"/>
      <c r="F85" s="280"/>
      <c r="G85" s="280"/>
      <c r="H85" s="281"/>
    </row>
    <row r="86" spans="1:8" s="2" customFormat="1" ht="12.75" customHeight="1" x14ac:dyDescent="0.2">
      <c r="A86" s="62"/>
      <c r="C86" s="279"/>
      <c r="D86" s="280"/>
      <c r="E86" s="280"/>
      <c r="F86" s="280"/>
      <c r="G86" s="280"/>
      <c r="H86" s="281"/>
    </row>
    <row r="87" spans="1:8" s="2" customFormat="1" ht="12.75" customHeight="1" x14ac:dyDescent="0.2">
      <c r="A87" s="62"/>
      <c r="C87" s="279"/>
      <c r="D87" s="280"/>
      <c r="E87" s="280"/>
      <c r="F87" s="280"/>
      <c r="G87" s="280"/>
      <c r="H87" s="281"/>
    </row>
    <row r="88" spans="1:8" s="2" customFormat="1" ht="12.75" customHeight="1" x14ac:dyDescent="0.2">
      <c r="A88" s="62"/>
      <c r="C88" s="279"/>
      <c r="D88" s="280"/>
      <c r="E88" s="280"/>
      <c r="F88" s="280"/>
      <c r="G88" s="280"/>
      <c r="H88" s="281"/>
    </row>
    <row r="89" spans="1:8" s="2" customFormat="1" ht="12.75" customHeight="1" x14ac:dyDescent="0.2">
      <c r="A89" s="62"/>
      <c r="C89" s="279"/>
      <c r="D89" s="280"/>
      <c r="E89" s="280"/>
      <c r="F89" s="280"/>
      <c r="G89" s="280"/>
      <c r="H89" s="281"/>
    </row>
    <row r="90" spans="1:8" s="2" customFormat="1" ht="12.75" customHeight="1" x14ac:dyDescent="0.2">
      <c r="A90" s="62"/>
      <c r="C90" s="279"/>
      <c r="D90" s="280"/>
      <c r="E90" s="280"/>
      <c r="F90" s="280"/>
      <c r="G90" s="280"/>
      <c r="H90" s="281"/>
    </row>
    <row r="91" spans="1:8" s="2" customFormat="1" ht="12.75" customHeight="1" x14ac:dyDescent="0.2">
      <c r="A91" s="62"/>
      <c r="C91" s="279"/>
      <c r="D91" s="280"/>
      <c r="E91" s="280"/>
      <c r="F91" s="280"/>
      <c r="G91" s="280"/>
      <c r="H91" s="281"/>
    </row>
    <row r="92" spans="1:8" s="2" customFormat="1" ht="12.75" customHeight="1" x14ac:dyDescent="0.2">
      <c r="A92" s="62"/>
      <c r="C92" s="282"/>
      <c r="D92" s="283"/>
      <c r="E92" s="283"/>
      <c r="F92" s="283"/>
      <c r="G92" s="283"/>
      <c r="H92" s="284"/>
    </row>
    <row r="93" spans="1:8" s="2" customFormat="1" ht="12.75" customHeight="1" x14ac:dyDescent="0.2">
      <c r="A93" s="62"/>
      <c r="C93" s="285"/>
      <c r="D93" s="286"/>
      <c r="E93" s="286"/>
      <c r="F93" s="286"/>
      <c r="G93" s="286"/>
      <c r="H93" s="287"/>
    </row>
    <row r="94" spans="1:8" s="2" customFormat="1" ht="12.75" customHeight="1" x14ac:dyDescent="0.2">
      <c r="A94" s="62"/>
      <c r="C94" s="285"/>
      <c r="D94" s="286"/>
      <c r="E94" s="286"/>
      <c r="F94" s="286"/>
      <c r="G94" s="286"/>
      <c r="H94" s="287"/>
    </row>
    <row r="95" spans="1:8" s="2" customFormat="1" ht="12.75" customHeight="1" x14ac:dyDescent="0.2">
      <c r="A95" s="62"/>
      <c r="C95" s="285"/>
      <c r="D95" s="286"/>
      <c r="E95" s="286"/>
      <c r="F95" s="286"/>
      <c r="G95" s="286"/>
      <c r="H95" s="287"/>
    </row>
    <row r="96" spans="1:8" s="2" customFormat="1" ht="12.75" customHeight="1" x14ac:dyDescent="0.2">
      <c r="A96" s="62"/>
      <c r="C96" s="285"/>
      <c r="D96" s="286"/>
      <c r="E96" s="286"/>
      <c r="F96" s="286"/>
      <c r="G96" s="286"/>
      <c r="H96" s="287"/>
    </row>
    <row r="97" spans="1:8" s="2" customFormat="1" ht="12.75" customHeight="1" x14ac:dyDescent="0.2">
      <c r="A97" s="62"/>
      <c r="C97" s="285"/>
      <c r="D97" s="286"/>
      <c r="E97" s="286"/>
      <c r="F97" s="286"/>
      <c r="G97" s="286"/>
      <c r="H97" s="287"/>
    </row>
    <row r="98" spans="1:8" s="2" customFormat="1" ht="12.75" customHeight="1" x14ac:dyDescent="0.2">
      <c r="A98" s="62"/>
      <c r="C98" s="285" t="s">
        <v>118</v>
      </c>
      <c r="D98" s="286"/>
      <c r="E98" s="286"/>
      <c r="F98" s="286"/>
      <c r="G98" s="286"/>
      <c r="H98" s="287"/>
    </row>
    <row r="99" spans="1:8" s="2" customFormat="1" ht="12.75" customHeight="1" x14ac:dyDescent="0.2">
      <c r="A99" s="62"/>
      <c r="C99" s="285"/>
      <c r="D99" s="286"/>
      <c r="E99" s="286"/>
      <c r="F99" s="286"/>
      <c r="G99" s="286"/>
      <c r="H99" s="287"/>
    </row>
    <row r="100" spans="1:8" s="2" customFormat="1" ht="12.75" customHeight="1" x14ac:dyDescent="0.2">
      <c r="A100" s="62"/>
      <c r="C100" s="285"/>
      <c r="D100" s="286"/>
      <c r="E100" s="286"/>
      <c r="F100" s="286"/>
      <c r="G100" s="286"/>
      <c r="H100" s="287"/>
    </row>
    <row r="101" spans="1:8" s="2" customFormat="1" ht="12.75" customHeight="1" x14ac:dyDescent="0.2">
      <c r="A101" s="62"/>
      <c r="C101" s="288" t="s">
        <v>119</v>
      </c>
      <c r="D101" s="289"/>
      <c r="E101" s="289"/>
      <c r="F101" s="289"/>
      <c r="G101" s="289"/>
      <c r="H101" s="290"/>
    </row>
    <row r="102" spans="1:8" s="2" customFormat="1" ht="12.75" customHeight="1" x14ac:dyDescent="0.2">
      <c r="A102" s="62"/>
      <c r="C102" s="285"/>
      <c r="D102" s="286"/>
      <c r="E102" s="286"/>
      <c r="F102" s="286"/>
      <c r="G102" s="286"/>
      <c r="H102" s="287"/>
    </row>
    <row r="103" spans="1:8" s="2" customFormat="1" ht="12.75" customHeight="1" x14ac:dyDescent="0.2">
      <c r="A103" s="62"/>
      <c r="C103" s="142"/>
      <c r="D103" s="143"/>
      <c r="E103" s="143"/>
      <c r="F103" s="143"/>
      <c r="G103" s="143"/>
      <c r="H103" s="144"/>
    </row>
    <row r="104" spans="1:8" s="2" customFormat="1" ht="12.75" customHeight="1" x14ac:dyDescent="0.2">
      <c r="A104" s="62"/>
      <c r="C104" s="285"/>
      <c r="D104" s="286"/>
      <c r="E104" s="286"/>
      <c r="F104" s="286"/>
      <c r="G104" s="286"/>
      <c r="H104" s="287"/>
    </row>
    <row r="105" spans="1:8" s="2" customFormat="1" x14ac:dyDescent="0.2">
      <c r="A105" s="62"/>
      <c r="C105" s="285"/>
      <c r="D105" s="286"/>
      <c r="E105" s="286"/>
      <c r="F105" s="286"/>
      <c r="G105" s="286"/>
      <c r="H105" s="287"/>
    </row>
    <row r="106" spans="1:8" s="2" customFormat="1" x14ac:dyDescent="0.2">
      <c r="A106" s="62"/>
      <c r="C106" s="285"/>
      <c r="D106" s="286"/>
      <c r="E106" s="286"/>
      <c r="F106" s="286"/>
      <c r="G106" s="286"/>
      <c r="H106" s="287"/>
    </row>
    <row r="107" spans="1:8" s="2" customFormat="1" x14ac:dyDescent="0.2">
      <c r="A107" s="62"/>
      <c r="C107" s="291"/>
      <c r="D107" s="292"/>
      <c r="E107" s="292"/>
      <c r="F107" s="292"/>
      <c r="G107" s="292"/>
      <c r="H107" s="293"/>
    </row>
    <row r="108" spans="1:8" s="2" customFormat="1" x14ac:dyDescent="0.2">
      <c r="A108" s="62"/>
      <c r="C108" s="145"/>
      <c r="D108" s="145"/>
      <c r="E108" s="145"/>
      <c r="F108" s="145"/>
      <c r="G108" s="145"/>
      <c r="H108" s="145"/>
    </row>
    <row r="109" spans="1:8" s="2" customFormat="1" x14ac:dyDescent="0.2">
      <c r="A109" s="62"/>
      <c r="C109" s="145"/>
      <c r="D109" s="145"/>
      <c r="E109" s="145"/>
      <c r="F109" s="145"/>
      <c r="G109" s="145"/>
      <c r="H109" s="145"/>
    </row>
    <row r="110" spans="1:8" s="2" customFormat="1" x14ac:dyDescent="0.2">
      <c r="A110" s="62"/>
      <c r="C110" s="145"/>
      <c r="D110" s="145"/>
      <c r="E110" s="145"/>
      <c r="F110" s="145"/>
      <c r="G110" s="145"/>
      <c r="H110" s="145"/>
    </row>
    <row r="111" spans="1:8" s="2" customFormat="1" x14ac:dyDescent="0.2">
      <c r="A111" s="62"/>
      <c r="C111" s="145"/>
      <c r="D111" s="145"/>
      <c r="E111" s="145"/>
      <c r="F111" s="145"/>
      <c r="G111" s="145"/>
      <c r="H111" s="145"/>
    </row>
    <row r="112" spans="1:8" s="2" customFormat="1" x14ac:dyDescent="0.2">
      <c r="A112" s="62"/>
      <c r="C112" s="145"/>
      <c r="D112" s="145"/>
      <c r="E112" s="145"/>
      <c r="F112" s="145"/>
      <c r="G112" s="145"/>
      <c r="H112" s="145"/>
    </row>
    <row r="113" spans="1:8" s="2" customFormat="1" x14ac:dyDescent="0.2">
      <c r="A113" s="62"/>
      <c r="C113" s="146"/>
      <c r="D113" s="147"/>
      <c r="E113" s="147"/>
      <c r="F113" s="147"/>
      <c r="G113" s="147"/>
      <c r="H113" s="148"/>
    </row>
    <row r="114" spans="1:8" x14ac:dyDescent="0.2">
      <c r="A114" s="149"/>
      <c r="B114" s="2"/>
      <c r="C114" s="150"/>
      <c r="D114" s="151"/>
      <c r="E114" s="151"/>
      <c r="F114" s="151"/>
      <c r="G114" s="151"/>
      <c r="H114" s="152"/>
    </row>
    <row r="115" spans="1:8" x14ac:dyDescent="0.2">
      <c r="A115" s="149"/>
      <c r="B115" s="2"/>
      <c r="C115" s="150"/>
      <c r="D115" s="151"/>
      <c r="E115" s="151"/>
      <c r="F115" s="151"/>
      <c r="G115" s="151"/>
      <c r="H115" s="152"/>
    </row>
    <row r="116" spans="1:8" x14ac:dyDescent="0.2">
      <c r="A116" s="149"/>
      <c r="B116" s="2"/>
      <c r="C116" s="294" t="s">
        <v>120</v>
      </c>
      <c r="D116" s="280"/>
      <c r="E116" s="280"/>
      <c r="F116" s="280"/>
      <c r="G116" s="280"/>
      <c r="H116" s="295"/>
    </row>
    <row r="117" spans="1:8" x14ac:dyDescent="0.2">
      <c r="A117" s="149"/>
      <c r="B117" s="2"/>
      <c r="C117" s="296"/>
      <c r="D117" s="297"/>
      <c r="E117" s="297"/>
      <c r="F117" s="297"/>
      <c r="G117" s="297"/>
      <c r="H117" s="298"/>
    </row>
    <row r="118" spans="1:8" x14ac:dyDescent="0.2">
      <c r="A118" s="149"/>
      <c r="B118" s="2"/>
      <c r="C118" s="299" t="s">
        <v>121</v>
      </c>
      <c r="D118" s="300"/>
      <c r="E118" s="300"/>
      <c r="F118" s="300"/>
      <c r="G118" s="300"/>
      <c r="H118" s="301"/>
    </row>
    <row r="119" spans="1:8" x14ac:dyDescent="0.2">
      <c r="A119" s="149"/>
      <c r="B119" s="2"/>
      <c r="C119" s="299" t="s">
        <v>122</v>
      </c>
      <c r="D119" s="300"/>
      <c r="E119" s="300"/>
      <c r="F119" s="300"/>
      <c r="G119" s="300"/>
      <c r="H119" s="301"/>
    </row>
    <row r="120" spans="1:8" x14ac:dyDescent="0.2">
      <c r="A120" s="62"/>
      <c r="B120" s="2"/>
      <c r="C120" s="153"/>
      <c r="D120" s="154"/>
      <c r="E120" s="154"/>
      <c r="F120" s="154"/>
      <c r="G120" s="154"/>
      <c r="H120" s="155"/>
    </row>
    <row r="121" spans="1:8" x14ac:dyDescent="0.2">
      <c r="A121" s="149"/>
      <c r="B121" s="2"/>
      <c r="C121" s="299"/>
      <c r="D121" s="300"/>
      <c r="E121" s="300"/>
      <c r="F121" s="300"/>
      <c r="G121" s="300"/>
      <c r="H121" s="301"/>
    </row>
    <row r="122" spans="1:8" x14ac:dyDescent="0.2">
      <c r="A122" s="149"/>
      <c r="B122" s="2"/>
      <c r="C122" s="299" t="s">
        <v>123</v>
      </c>
      <c r="D122" s="300"/>
      <c r="E122" s="300"/>
      <c r="F122" s="300"/>
      <c r="G122" s="300"/>
      <c r="H122" s="301"/>
    </row>
    <row r="123" spans="1:8" x14ac:dyDescent="0.2">
      <c r="A123" s="149"/>
      <c r="B123" s="2"/>
      <c r="C123" s="299" t="s">
        <v>124</v>
      </c>
      <c r="D123" s="300"/>
      <c r="E123" s="300"/>
      <c r="F123" s="300"/>
      <c r="G123" s="300"/>
      <c r="H123" s="301"/>
    </row>
    <row r="124" spans="1:8" x14ac:dyDescent="0.2">
      <c r="A124" s="149"/>
      <c r="B124" s="2"/>
      <c r="C124" s="156"/>
      <c r="D124" s="1"/>
      <c r="E124" s="1"/>
      <c r="F124" s="1"/>
      <c r="G124" s="1"/>
      <c r="H124" s="157"/>
    </row>
    <row r="125" spans="1:8" x14ac:dyDescent="0.2">
      <c r="A125" s="149"/>
      <c r="B125" s="2"/>
      <c r="C125" s="156"/>
      <c r="D125" s="1"/>
      <c r="E125" s="1"/>
      <c r="F125" s="1"/>
      <c r="G125" s="1"/>
      <c r="H125" s="157"/>
    </row>
    <row r="126" spans="1:8" x14ac:dyDescent="0.2">
      <c r="A126" s="149"/>
      <c r="B126" s="2"/>
      <c r="C126" s="156"/>
      <c r="D126" s="1"/>
      <c r="E126" s="1"/>
      <c r="F126" s="1"/>
      <c r="G126" s="1"/>
      <c r="H126" s="157"/>
    </row>
    <row r="127" spans="1:8" x14ac:dyDescent="0.2">
      <c r="A127" s="149"/>
      <c r="B127" s="2"/>
      <c r="C127" s="156"/>
      <c r="D127" s="1"/>
      <c r="E127" s="1"/>
      <c r="F127" s="1"/>
      <c r="G127" s="1"/>
      <c r="H127" s="157"/>
    </row>
    <row r="128" spans="1:8" x14ac:dyDescent="0.2">
      <c r="A128" s="62"/>
      <c r="B128" s="2"/>
      <c r="C128" s="158"/>
      <c r="H128" s="157"/>
    </row>
    <row r="129" spans="1:8" x14ac:dyDescent="0.2">
      <c r="A129" s="62"/>
      <c r="B129" s="2"/>
      <c r="C129" s="158"/>
      <c r="H129" s="157"/>
    </row>
    <row r="130" spans="1:8" x14ac:dyDescent="0.2">
      <c r="A130" s="62"/>
      <c r="B130" s="2"/>
      <c r="C130" s="158"/>
      <c r="H130" s="157"/>
    </row>
    <row r="131" spans="1:8" x14ac:dyDescent="0.2">
      <c r="A131" s="62"/>
      <c r="B131" s="2"/>
      <c r="C131" s="158"/>
      <c r="H131" s="157"/>
    </row>
    <row r="132" spans="1:8" x14ac:dyDescent="0.2">
      <c r="A132" s="62"/>
      <c r="B132" s="2"/>
      <c r="C132" s="158"/>
      <c r="H132" s="157"/>
    </row>
    <row r="133" spans="1:8" x14ac:dyDescent="0.2">
      <c r="A133" s="62"/>
      <c r="B133" s="2"/>
      <c r="C133" s="158"/>
      <c r="H133" s="157"/>
    </row>
    <row r="134" spans="1:8" x14ac:dyDescent="0.2">
      <c r="A134" s="62"/>
      <c r="B134" s="2"/>
      <c r="C134" s="158"/>
      <c r="H134" s="157"/>
    </row>
    <row r="135" spans="1:8" x14ac:dyDescent="0.2">
      <c r="A135" s="62"/>
      <c r="B135" s="2"/>
      <c r="C135" s="158"/>
      <c r="H135" s="157"/>
    </row>
    <row r="136" spans="1:8" x14ac:dyDescent="0.2">
      <c r="A136" s="62"/>
      <c r="B136" s="2"/>
      <c r="C136" s="158"/>
      <c r="H136" s="157"/>
    </row>
    <row r="137" spans="1:8" x14ac:dyDescent="0.2">
      <c r="A137" s="62"/>
      <c r="B137" s="2"/>
      <c r="C137" s="158"/>
      <c r="H137" s="157"/>
    </row>
    <row r="138" spans="1:8" x14ac:dyDescent="0.2">
      <c r="A138" s="62"/>
      <c r="B138" s="2"/>
      <c r="C138" s="158"/>
      <c r="H138" s="157"/>
    </row>
    <row r="139" spans="1:8" x14ac:dyDescent="0.2">
      <c r="A139" s="62"/>
      <c r="B139" s="2"/>
      <c r="C139" s="158"/>
      <c r="H139" s="157"/>
    </row>
    <row r="140" spans="1:8" x14ac:dyDescent="0.2">
      <c r="A140" s="62"/>
      <c r="B140" s="2"/>
      <c r="C140" s="158"/>
      <c r="H140" s="157"/>
    </row>
    <row r="141" spans="1:8" x14ac:dyDescent="0.2">
      <c r="A141" s="62"/>
      <c r="B141" s="2"/>
      <c r="C141" s="158"/>
      <c r="H141" s="157"/>
    </row>
    <row r="142" spans="1:8" x14ac:dyDescent="0.2">
      <c r="A142" s="62"/>
      <c r="B142" s="2"/>
      <c r="C142" s="158"/>
      <c r="H142" s="157"/>
    </row>
    <row r="143" spans="1:8" x14ac:dyDescent="0.2">
      <c r="A143" s="62"/>
      <c r="B143" s="2"/>
      <c r="C143" s="158"/>
      <c r="H143" s="157"/>
    </row>
    <row r="144" spans="1:8" x14ac:dyDescent="0.2">
      <c r="A144" s="62"/>
      <c r="B144" s="2"/>
      <c r="C144" s="158"/>
      <c r="H144" s="157"/>
    </row>
    <row r="145" spans="1:8" x14ac:dyDescent="0.2">
      <c r="A145" s="62"/>
      <c r="B145" s="2"/>
      <c r="C145" s="158"/>
      <c r="H145" s="157"/>
    </row>
    <row r="146" spans="1:8" x14ac:dyDescent="0.2">
      <c r="A146" s="62"/>
      <c r="B146" s="2"/>
      <c r="C146" s="158"/>
      <c r="H146" s="157"/>
    </row>
    <row r="147" spans="1:8" x14ac:dyDescent="0.2">
      <c r="A147" s="62"/>
      <c r="B147" s="2"/>
      <c r="C147" s="158"/>
      <c r="H147" s="157"/>
    </row>
    <row r="148" spans="1:8" x14ac:dyDescent="0.2">
      <c r="A148" s="62"/>
      <c r="B148" s="2"/>
      <c r="C148" s="158"/>
      <c r="H148" s="157"/>
    </row>
    <row r="149" spans="1:8" x14ac:dyDescent="0.2">
      <c r="A149" s="62"/>
      <c r="B149" s="2"/>
      <c r="C149" s="158"/>
      <c r="H149" s="157"/>
    </row>
    <row r="150" spans="1:8" x14ac:dyDescent="0.2">
      <c r="A150" s="62"/>
      <c r="B150" s="2"/>
      <c r="C150" s="158"/>
      <c r="H150" s="157"/>
    </row>
    <row r="151" spans="1:8" x14ac:dyDescent="0.2">
      <c r="A151" s="62"/>
      <c r="B151" s="2"/>
      <c r="C151" s="158"/>
      <c r="H151" s="157"/>
    </row>
    <row r="152" spans="1:8" x14ac:dyDescent="0.2">
      <c r="A152" s="62"/>
      <c r="B152" s="2"/>
      <c r="C152" s="158"/>
      <c r="H152" s="157"/>
    </row>
    <row r="153" spans="1:8" x14ac:dyDescent="0.2">
      <c r="A153" s="62"/>
      <c r="B153" s="2"/>
      <c r="C153" s="158"/>
      <c r="H153" s="157"/>
    </row>
    <row r="154" spans="1:8" x14ac:dyDescent="0.2">
      <c r="A154" s="62"/>
      <c r="B154" s="2"/>
      <c r="C154" s="158"/>
      <c r="H154" s="157"/>
    </row>
    <row r="155" spans="1:8" x14ac:dyDescent="0.2">
      <c r="A155" s="62"/>
      <c r="B155" s="2"/>
      <c r="C155" s="158"/>
      <c r="H155" s="157"/>
    </row>
    <row r="156" spans="1:8" x14ac:dyDescent="0.2">
      <c r="A156" s="62"/>
      <c r="B156" s="2"/>
      <c r="C156" s="158"/>
      <c r="H156" s="157"/>
    </row>
    <row r="157" spans="1:8" x14ac:dyDescent="0.2">
      <c r="A157" s="62"/>
      <c r="B157" s="2"/>
      <c r="C157" s="158"/>
      <c r="H157" s="157"/>
    </row>
    <row r="158" spans="1:8" x14ac:dyDescent="0.2">
      <c r="A158" s="62"/>
      <c r="B158" s="2"/>
      <c r="C158" s="158"/>
      <c r="H158" s="157"/>
    </row>
    <row r="159" spans="1:8" x14ac:dyDescent="0.2">
      <c r="A159" s="62"/>
      <c r="B159" s="2"/>
      <c r="C159" s="158"/>
      <c r="H159" s="157"/>
    </row>
    <row r="160" spans="1:8" x14ac:dyDescent="0.2">
      <c r="A160" s="62"/>
      <c r="B160" s="2"/>
      <c r="C160" s="158"/>
      <c r="H160" s="157"/>
    </row>
    <row r="161" spans="1:8" x14ac:dyDescent="0.2">
      <c r="A161" s="62"/>
      <c r="B161" s="2"/>
      <c r="C161" s="158"/>
      <c r="H161" s="157"/>
    </row>
    <row r="162" spans="1:8" x14ac:dyDescent="0.2">
      <c r="A162" s="62"/>
      <c r="B162" s="2"/>
      <c r="C162" s="158"/>
      <c r="H162" s="157"/>
    </row>
    <row r="163" spans="1:8" x14ac:dyDescent="0.2">
      <c r="A163" s="62"/>
      <c r="B163" s="2"/>
      <c r="C163" s="158"/>
      <c r="H163" s="157"/>
    </row>
    <row r="164" spans="1:8" x14ac:dyDescent="0.2">
      <c r="A164" s="62"/>
      <c r="B164" s="2"/>
      <c r="C164" s="158"/>
      <c r="H164" s="157"/>
    </row>
    <row r="165" spans="1:8" x14ac:dyDescent="0.2">
      <c r="A165" s="62"/>
      <c r="B165" s="2"/>
      <c r="C165" s="158"/>
      <c r="H165" s="157"/>
    </row>
    <row r="166" spans="1:8" x14ac:dyDescent="0.2">
      <c r="A166" s="62"/>
      <c r="B166" s="2"/>
      <c r="C166" s="158"/>
      <c r="H166" s="157"/>
    </row>
    <row r="167" spans="1:8" x14ac:dyDescent="0.2">
      <c r="A167" s="62"/>
      <c r="B167" s="2"/>
      <c r="C167" s="158"/>
      <c r="H167" s="157"/>
    </row>
    <row r="168" spans="1:8" x14ac:dyDescent="0.2">
      <c r="A168" s="62"/>
      <c r="B168" s="2"/>
      <c r="C168" s="158"/>
      <c r="H168" s="157"/>
    </row>
    <row r="169" spans="1:8" x14ac:dyDescent="0.2">
      <c r="A169" s="62"/>
      <c r="B169" s="2"/>
      <c r="C169" s="158"/>
      <c r="H169" s="157"/>
    </row>
    <row r="170" spans="1:8" x14ac:dyDescent="0.2">
      <c r="A170" s="62"/>
      <c r="B170" s="2"/>
      <c r="C170" s="158"/>
      <c r="H170" s="157"/>
    </row>
    <row r="171" spans="1:8" x14ac:dyDescent="0.2">
      <c r="A171" s="62"/>
      <c r="B171" s="2"/>
      <c r="C171" s="158"/>
      <c r="H171" s="157"/>
    </row>
    <row r="172" spans="1:8" x14ac:dyDescent="0.2">
      <c r="A172" s="62"/>
      <c r="B172" s="2"/>
      <c r="C172" s="158"/>
      <c r="H172" s="157"/>
    </row>
    <row r="173" spans="1:8" x14ac:dyDescent="0.2">
      <c r="A173" s="62"/>
      <c r="B173" s="2"/>
      <c r="C173" s="158"/>
      <c r="H173" s="157"/>
    </row>
    <row r="174" spans="1:8" x14ac:dyDescent="0.2">
      <c r="A174" s="62"/>
      <c r="B174" s="2"/>
      <c r="C174" s="158"/>
      <c r="H174" s="157"/>
    </row>
    <row r="175" spans="1:8" x14ac:dyDescent="0.2">
      <c r="A175" s="62"/>
      <c r="B175" s="2"/>
      <c r="C175" s="158"/>
      <c r="H175" s="157"/>
    </row>
    <row r="176" spans="1:8" x14ac:dyDescent="0.2">
      <c r="A176" s="62"/>
      <c r="B176" s="2"/>
      <c r="C176" s="158"/>
      <c r="H176" s="157"/>
    </row>
    <row r="177" spans="1:8" x14ac:dyDescent="0.2">
      <c r="A177" s="62"/>
      <c r="B177" s="2"/>
      <c r="C177" s="158"/>
      <c r="H177" s="157"/>
    </row>
    <row r="178" spans="1:8" x14ac:dyDescent="0.2">
      <c r="B178" s="2"/>
    </row>
    <row r="179" spans="1:8" x14ac:dyDescent="0.2">
      <c r="B179" s="2"/>
    </row>
    <row r="180" spans="1:8" x14ac:dyDescent="0.2">
      <c r="B180" s="2"/>
    </row>
    <row r="181" spans="1:8" x14ac:dyDescent="0.2">
      <c r="B181" s="2"/>
    </row>
    <row r="182" spans="1:8" x14ac:dyDescent="0.2">
      <c r="B182" s="2"/>
    </row>
  </sheetData>
  <sheetProtection algorithmName="SHA-512" hashValue="kCOK5h/uKiE54g32f24b6i8soNUihQUqnBb0OXBGb0B1/pAGAezCHxnvRki+t4zapDrvjLgGeCCRPv/mE8oQOA==" saltValue="DngLrCSI7BZ1uk2elMi1SQ==" spinCount="100000" sheet="1" insertRows="0" deleteRows="0"/>
  <mergeCells count="40">
    <mergeCell ref="C118:H118"/>
    <mergeCell ref="C119:H119"/>
    <mergeCell ref="C121:H121"/>
    <mergeCell ref="C122:H122"/>
    <mergeCell ref="C123:H123"/>
    <mergeCell ref="C105:H105"/>
    <mergeCell ref="C106:H106"/>
    <mergeCell ref="C107:H107"/>
    <mergeCell ref="C116:H116"/>
    <mergeCell ref="C117:H117"/>
    <mergeCell ref="C99:H99"/>
    <mergeCell ref="C100:H100"/>
    <mergeCell ref="C101:H101"/>
    <mergeCell ref="C102:H102"/>
    <mergeCell ref="C104:H104"/>
    <mergeCell ref="C94:H94"/>
    <mergeCell ref="C95:H95"/>
    <mergeCell ref="C96:H96"/>
    <mergeCell ref="C97:H97"/>
    <mergeCell ref="C98:H98"/>
    <mergeCell ref="C74:D74"/>
    <mergeCell ref="C75:D75"/>
    <mergeCell ref="C77:G77"/>
    <mergeCell ref="C79:H92"/>
    <mergeCell ref="C93:H93"/>
    <mergeCell ref="C65:G65"/>
    <mergeCell ref="C66:G66"/>
    <mergeCell ref="C67:G67"/>
    <mergeCell ref="C68:G68"/>
    <mergeCell ref="C73:D73"/>
    <mergeCell ref="C60:F60"/>
    <mergeCell ref="C61:G61"/>
    <mergeCell ref="C62:G62"/>
    <mergeCell ref="C63:G63"/>
    <mergeCell ref="C64:G64"/>
    <mergeCell ref="F7:G7"/>
    <mergeCell ref="F8:G8"/>
    <mergeCell ref="C25:G25"/>
    <mergeCell ref="F46:G46"/>
    <mergeCell ref="C56:G56"/>
  </mergeCells>
  <conditionalFormatting sqref="C75:D75">
    <cfRule type="expression" dxfId="8" priority="5">
      <formula>IF(CELDA_FALTAN_DATOS=G3,TRUE,FALSE)</formula>
    </cfRule>
  </conditionalFormatting>
  <conditionalFormatting sqref="C75:D75">
    <cfRule type="expression" dxfId="7" priority="9">
      <formula>IF(CELDA_FALTAN_DATOS&lt;&gt;G3,TRUE,FALSE)</formula>
    </cfRule>
  </conditionalFormatting>
  <conditionalFormatting sqref="D29">
    <cfRule type="containsBlanks" dxfId="6" priority="2">
      <formula>LEN(TRIM(D29))=0</formula>
    </cfRule>
  </conditionalFormatting>
  <conditionalFormatting sqref="G11:G12 G27 G36:G38 D44 G44 D57:D58 C61">
    <cfRule type="containsBlanks" dxfId="5" priority="36">
      <formula>LEN(TRIM(C11))=0</formula>
    </cfRule>
  </conditionalFormatting>
  <conditionalFormatting sqref="D36">
    <cfRule type="containsBlanks" dxfId="4" priority="1">
      <formula>LEN(TRIM(D36))=0</formula>
    </cfRule>
  </conditionalFormatting>
  <dataValidations xWindow="490" yWindow="315" count="6">
    <dataValidation showInputMessage="1" showErrorMessage="1" sqref="G71 L36"/>
    <dataValidation showInputMessage="1" showErrorMessage="1" errorTitle="Microsoft Excel MAKITA" sqref="F8:G8 K58"/>
    <dataValidation type="list" showInputMessage="1" showErrorMessage="1" errorTitle="Microsoft Excel MAKITA" sqref="G75">
      <formula1>RG_MANO_D_OBRA</formula1>
    </dataValidation>
    <dataValidation type="list" showInputMessage="1" showErrorMessage="1" sqref="D70">
      <formula1>$F$14:$F$16</formula1>
    </dataValidation>
    <dataValidation type="list" showInputMessage="1" showErrorMessage="1" errorTitle="Microsoft Excel MAKITA" sqref="G60">
      <formula1>$E$20:$E$24</formula1>
    </dataValidation>
    <dataValidation type="list" showInputMessage="1" showErrorMessage="1" sqref="C73:D73">
      <formula1>$G$22:$G$24</formula1>
    </dataValidation>
  </dataValidations>
  <printOptions horizontalCentered="1"/>
  <pageMargins left="0.19685039370078738" right="0.19685039370078738" top="0.19685039370078738" bottom="0.19685039370078738" header="0" footer="0"/>
  <pageSetup paperSize="9" scale="76" fitToHeight="2" orientation="portrait" verticalDpi="144"/>
  <rowBreaks count="1" manualBreakCount="1">
    <brk id="108" max="7" man="1"/>
  </row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4" r:id="rId3" name="Drop Down 67">
              <controlPr defaultSize="0" autoLine="0" autoPict="0">
                <anchor sizeWithCells="1">
                  <from>
                    <xdr:col>3</xdr:col>
                    <xdr:colOff>2809875</xdr:colOff>
                    <xdr:row>71</xdr:row>
                    <xdr:rowOff>0</xdr:rowOff>
                  </from>
                  <to>
                    <xdr:col>3</xdr:col>
                    <xdr:colOff>2971800</xdr:colOff>
                    <xdr:row>71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4"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Y195"/>
  <sheetViews>
    <sheetView zoomScale="85" workbookViewId="0">
      <pane ySplit="10" topLeftCell="A11" activePane="bottomLeft" state="frozen"/>
      <selection activeCell="B93" sqref="B93"/>
      <selection pane="bottomLeft"/>
    </sheetView>
  </sheetViews>
  <sheetFormatPr baseColWidth="10" defaultColWidth="11.42578125" defaultRowHeight="12" customHeight="1" x14ac:dyDescent="0.2"/>
  <cols>
    <col min="1" max="1" width="4.5703125" customWidth="1"/>
    <col min="2" max="2" width="12.42578125" customWidth="1"/>
    <col min="3" max="3" width="28.140625" customWidth="1"/>
    <col min="4" max="4" width="14" bestFit="1" customWidth="1"/>
    <col min="6" max="6" width="20.5703125" customWidth="1"/>
    <col min="7" max="7" width="28.28515625" customWidth="1"/>
    <col min="8" max="8" width="20.7109375" customWidth="1"/>
    <col min="9" max="9" width="39.42578125" style="159" bestFit="1" customWidth="1"/>
    <col min="10" max="10" width="21.7109375" customWidth="1"/>
    <col min="11" max="11" width="31.28515625" customWidth="1"/>
    <col min="12" max="12" width="16.28515625" customWidth="1"/>
    <col min="13" max="13" width="19.140625" customWidth="1"/>
    <col min="14" max="14" width="16.85546875" customWidth="1"/>
    <col min="15" max="15" width="19.140625" bestFit="1" customWidth="1"/>
  </cols>
  <sheetData>
    <row r="7" spans="1:25" ht="12" customHeight="1" x14ac:dyDescent="0.2">
      <c r="B7" s="302" t="s">
        <v>125</v>
      </c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</row>
    <row r="8" spans="1:25" ht="12" customHeight="1" x14ac:dyDescent="0.2"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</row>
    <row r="9" spans="1:25" ht="12" customHeight="1" x14ac:dyDescent="0.2"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</row>
    <row r="10" spans="1:25" ht="12" customHeight="1" x14ac:dyDescent="0.2">
      <c r="A10" s="160"/>
      <c r="B10" s="161" t="s">
        <v>126</v>
      </c>
      <c r="C10" s="162" t="s">
        <v>127</v>
      </c>
      <c r="D10" s="163" t="s">
        <v>128</v>
      </c>
      <c r="E10" s="163" t="s">
        <v>129</v>
      </c>
      <c r="F10" s="163" t="s">
        <v>130</v>
      </c>
      <c r="G10" s="162" t="s">
        <v>131</v>
      </c>
      <c r="H10" s="162" t="s">
        <v>132</v>
      </c>
      <c r="I10" s="162" t="s">
        <v>133</v>
      </c>
      <c r="J10" s="162" t="s">
        <v>134</v>
      </c>
      <c r="K10" s="162" t="s">
        <v>135</v>
      </c>
      <c r="L10" s="162" t="s">
        <v>136</v>
      </c>
      <c r="M10" s="164" t="s">
        <v>137</v>
      </c>
      <c r="N10" s="164" t="s">
        <v>138</v>
      </c>
      <c r="O10" s="164" t="s">
        <v>139</v>
      </c>
      <c r="P10" s="164" t="s">
        <v>140</v>
      </c>
      <c r="S10" s="161" t="s">
        <v>141</v>
      </c>
      <c r="T10" s="161" t="s">
        <v>142</v>
      </c>
      <c r="U10" s="161" t="s">
        <v>143</v>
      </c>
      <c r="V10" s="165" t="s">
        <v>144</v>
      </c>
      <c r="X10" s="162" t="s">
        <v>145</v>
      </c>
      <c r="Y10" s="162" t="s">
        <v>146</v>
      </c>
    </row>
    <row r="11" spans="1:25" ht="12" customHeight="1" x14ac:dyDescent="0.2">
      <c r="A11" s="166">
        <v>1</v>
      </c>
      <c r="B11" s="167" t="s">
        <v>147</v>
      </c>
      <c r="C11" s="168" t="s">
        <v>148</v>
      </c>
      <c r="D11" s="169" t="s">
        <v>149</v>
      </c>
      <c r="E11" s="169" t="s">
        <v>150</v>
      </c>
      <c r="F11" s="169" t="s">
        <v>151</v>
      </c>
      <c r="G11" s="170" t="s">
        <v>152</v>
      </c>
      <c r="H11" s="168" t="s">
        <v>153</v>
      </c>
      <c r="I11" s="170">
        <v>965606002</v>
      </c>
      <c r="J11" s="170" t="s">
        <v>154</v>
      </c>
      <c r="K11" s="170" t="s">
        <v>155</v>
      </c>
      <c r="L11" s="170"/>
      <c r="M11" s="169" t="s">
        <v>156</v>
      </c>
      <c r="N11" s="169" t="s">
        <v>157</v>
      </c>
      <c r="O11" s="169" t="s">
        <v>158</v>
      </c>
      <c r="P11" s="167" t="s">
        <v>159</v>
      </c>
      <c r="S11" s="167" t="s">
        <v>160</v>
      </c>
      <c r="T11" s="167" t="s">
        <v>161</v>
      </c>
      <c r="U11" s="167" t="s">
        <v>162</v>
      </c>
      <c r="V11" s="167"/>
      <c r="X11" s="170" t="s">
        <v>163</v>
      </c>
      <c r="Y11" s="170" t="s">
        <v>164</v>
      </c>
    </row>
    <row r="12" spans="1:25" ht="12" customHeight="1" x14ac:dyDescent="0.3">
      <c r="A12" s="166">
        <v>2</v>
      </c>
      <c r="B12" s="171" t="s">
        <v>165</v>
      </c>
      <c r="C12" s="172" t="s">
        <v>166</v>
      </c>
      <c r="D12" s="173" t="s">
        <v>167</v>
      </c>
      <c r="E12" s="173" t="s">
        <v>167</v>
      </c>
      <c r="F12" s="173" t="s">
        <v>168</v>
      </c>
      <c r="G12" s="174" t="s">
        <v>169</v>
      </c>
      <c r="H12" s="172" t="s">
        <v>166</v>
      </c>
      <c r="I12" s="174" t="s">
        <v>170</v>
      </c>
      <c r="J12" s="174" t="s">
        <v>171</v>
      </c>
      <c r="K12" s="174" t="s">
        <v>172</v>
      </c>
      <c r="L12" s="174"/>
      <c r="M12" s="173" t="s">
        <v>156</v>
      </c>
      <c r="N12" s="173" t="s">
        <v>157</v>
      </c>
      <c r="O12" s="173" t="s">
        <v>173</v>
      </c>
      <c r="P12" s="171" t="s">
        <v>159</v>
      </c>
      <c r="S12" s="171" t="s">
        <v>160</v>
      </c>
      <c r="T12" s="171" t="s">
        <v>161</v>
      </c>
      <c r="U12" s="175" t="s">
        <v>174</v>
      </c>
      <c r="V12" s="176" t="s">
        <v>175</v>
      </c>
      <c r="X12" s="174" t="s">
        <v>176</v>
      </c>
      <c r="Y12" s="174" t="s">
        <v>177</v>
      </c>
    </row>
    <row r="13" spans="1:25" ht="12" customHeight="1" x14ac:dyDescent="0.2">
      <c r="A13" s="166">
        <v>3</v>
      </c>
      <c r="B13" s="171" t="s">
        <v>178</v>
      </c>
      <c r="C13" s="172" t="s">
        <v>179</v>
      </c>
      <c r="D13" s="173" t="s">
        <v>180</v>
      </c>
      <c r="E13" s="173" t="s">
        <v>181</v>
      </c>
      <c r="F13" s="173" t="s">
        <v>181</v>
      </c>
      <c r="G13" s="174" t="s">
        <v>182</v>
      </c>
      <c r="H13" s="172" t="s">
        <v>183</v>
      </c>
      <c r="I13" s="174" t="s">
        <v>184</v>
      </c>
      <c r="J13" s="174" t="s">
        <v>185</v>
      </c>
      <c r="K13" s="174" t="s">
        <v>186</v>
      </c>
      <c r="L13" s="174"/>
      <c r="M13" s="173" t="s">
        <v>187</v>
      </c>
      <c r="N13" s="173" t="s">
        <v>188</v>
      </c>
      <c r="O13" s="173" t="s">
        <v>173</v>
      </c>
      <c r="P13" s="171" t="s">
        <v>159</v>
      </c>
      <c r="S13" s="171" t="s">
        <v>160</v>
      </c>
      <c r="T13" s="171" t="s">
        <v>161</v>
      </c>
      <c r="U13" s="171" t="s">
        <v>189</v>
      </c>
      <c r="V13" s="171"/>
      <c r="X13" s="174" t="s">
        <v>190</v>
      </c>
      <c r="Y13" s="174" t="s">
        <v>191</v>
      </c>
    </row>
    <row r="14" spans="1:25" ht="12" customHeight="1" x14ac:dyDescent="0.2">
      <c r="A14" s="166">
        <v>4</v>
      </c>
      <c r="B14" s="171" t="s">
        <v>192</v>
      </c>
      <c r="C14" s="172" t="s">
        <v>193</v>
      </c>
      <c r="D14" s="173" t="s">
        <v>194</v>
      </c>
      <c r="E14" s="173" t="s">
        <v>195</v>
      </c>
      <c r="F14" s="173" t="s">
        <v>196</v>
      </c>
      <c r="G14" s="174" t="s">
        <v>197</v>
      </c>
      <c r="H14" s="172" t="s">
        <v>198</v>
      </c>
      <c r="I14" s="174">
        <v>992869440</v>
      </c>
      <c r="J14" s="174" t="s">
        <v>199</v>
      </c>
      <c r="K14" s="174" t="s">
        <v>200</v>
      </c>
      <c r="L14" s="174"/>
      <c r="M14" s="173" t="s">
        <v>156</v>
      </c>
      <c r="N14" s="173" t="s">
        <v>201</v>
      </c>
      <c r="O14" s="173" t="s">
        <v>173</v>
      </c>
      <c r="P14" s="171" t="s">
        <v>159</v>
      </c>
      <c r="S14" s="171" t="s">
        <v>160</v>
      </c>
      <c r="T14" s="171" t="s">
        <v>161</v>
      </c>
      <c r="U14" s="171" t="s">
        <v>202</v>
      </c>
      <c r="V14" s="171"/>
      <c r="X14" s="174" t="s">
        <v>203</v>
      </c>
      <c r="Y14" s="174" t="s">
        <v>204</v>
      </c>
    </row>
    <row r="15" spans="1:25" ht="12" customHeight="1" x14ac:dyDescent="0.2">
      <c r="A15" s="166">
        <v>5</v>
      </c>
      <c r="B15" s="171" t="s">
        <v>75</v>
      </c>
      <c r="C15" s="172" t="s">
        <v>205</v>
      </c>
      <c r="D15" s="173" t="s">
        <v>206</v>
      </c>
      <c r="E15" s="173" t="s">
        <v>206</v>
      </c>
      <c r="F15" s="173" t="s">
        <v>206</v>
      </c>
      <c r="G15" s="174" t="s">
        <v>207</v>
      </c>
      <c r="H15" s="172" t="s">
        <v>208</v>
      </c>
      <c r="I15" s="174" t="s">
        <v>209</v>
      </c>
      <c r="J15" s="174" t="s">
        <v>210</v>
      </c>
      <c r="K15" s="174" t="s">
        <v>211</v>
      </c>
      <c r="L15" s="174"/>
      <c r="M15" s="173" t="s">
        <v>187</v>
      </c>
      <c r="N15" s="173" t="s">
        <v>157</v>
      </c>
      <c r="O15" s="173" t="s">
        <v>173</v>
      </c>
      <c r="P15" s="171" t="s">
        <v>159</v>
      </c>
      <c r="S15" s="171" t="s">
        <v>160</v>
      </c>
      <c r="T15" s="171" t="s">
        <v>161</v>
      </c>
      <c r="U15" s="171" t="s">
        <v>212</v>
      </c>
      <c r="V15" s="171"/>
      <c r="X15" s="174" t="s">
        <v>203</v>
      </c>
      <c r="Y15" s="174" t="s">
        <v>213</v>
      </c>
    </row>
    <row r="16" spans="1:25" ht="12" customHeight="1" x14ac:dyDescent="0.2">
      <c r="A16" s="166">
        <v>6</v>
      </c>
      <c r="B16" s="167" t="s">
        <v>214</v>
      </c>
      <c r="C16" s="168" t="s">
        <v>215</v>
      </c>
      <c r="D16" s="169" t="s">
        <v>216</v>
      </c>
      <c r="E16" s="169" t="s">
        <v>217</v>
      </c>
      <c r="F16" s="169" t="s">
        <v>217</v>
      </c>
      <c r="G16" s="170" t="s">
        <v>218</v>
      </c>
      <c r="H16" s="168" t="s">
        <v>219</v>
      </c>
      <c r="I16" s="170" t="s">
        <v>220</v>
      </c>
      <c r="J16" s="170" t="s">
        <v>221</v>
      </c>
      <c r="K16" s="170" t="s">
        <v>222</v>
      </c>
      <c r="L16" s="170"/>
      <c r="M16" s="169" t="s">
        <v>156</v>
      </c>
      <c r="N16" s="169" t="s">
        <v>157</v>
      </c>
      <c r="O16" s="169" t="s">
        <v>158</v>
      </c>
      <c r="P16" s="167" t="s">
        <v>159</v>
      </c>
      <c r="S16" s="167" t="s">
        <v>160</v>
      </c>
      <c r="T16" s="167" t="s">
        <v>161</v>
      </c>
      <c r="U16" s="167" t="s">
        <v>223</v>
      </c>
      <c r="V16" s="167" t="s">
        <v>224</v>
      </c>
      <c r="X16" s="170" t="s">
        <v>203</v>
      </c>
      <c r="Y16" s="170" t="s">
        <v>225</v>
      </c>
    </row>
    <row r="17" spans="1:25" ht="12" customHeight="1" x14ac:dyDescent="0.2">
      <c r="A17" s="166">
        <v>7</v>
      </c>
      <c r="B17" s="167" t="s">
        <v>226</v>
      </c>
      <c r="C17" s="168" t="s">
        <v>227</v>
      </c>
      <c r="D17" s="169" t="s">
        <v>228</v>
      </c>
      <c r="E17" s="169" t="s">
        <v>229</v>
      </c>
      <c r="F17" s="169" t="s">
        <v>229</v>
      </c>
      <c r="G17" s="170" t="s">
        <v>230</v>
      </c>
      <c r="H17" s="168" t="s">
        <v>231</v>
      </c>
      <c r="I17" s="170">
        <v>964468221</v>
      </c>
      <c r="J17" s="170" t="s">
        <v>232</v>
      </c>
      <c r="K17" s="170" t="s">
        <v>233</v>
      </c>
      <c r="L17" s="177" t="s">
        <v>234</v>
      </c>
      <c r="M17" s="169" t="s">
        <v>187</v>
      </c>
      <c r="N17" s="169" t="s">
        <v>157</v>
      </c>
      <c r="O17" s="169" t="s">
        <v>158</v>
      </c>
      <c r="P17" s="167" t="s">
        <v>159</v>
      </c>
      <c r="S17" s="167" t="s">
        <v>160</v>
      </c>
      <c r="T17" s="167" t="s">
        <v>235</v>
      </c>
      <c r="U17" s="167" t="s">
        <v>236</v>
      </c>
      <c r="V17" s="167" t="s">
        <v>237</v>
      </c>
      <c r="X17" s="170" t="s">
        <v>238</v>
      </c>
      <c r="Y17" s="170" t="s">
        <v>239</v>
      </c>
    </row>
    <row r="18" spans="1:25" ht="12" customHeight="1" x14ac:dyDescent="0.2">
      <c r="A18" s="166">
        <v>8</v>
      </c>
      <c r="B18" s="171" t="s">
        <v>240</v>
      </c>
      <c r="C18" s="172" t="s">
        <v>241</v>
      </c>
      <c r="D18" s="173" t="s">
        <v>242</v>
      </c>
      <c r="E18" s="173" t="s">
        <v>242</v>
      </c>
      <c r="F18" s="173" t="s">
        <v>242</v>
      </c>
      <c r="G18" s="174" t="s">
        <v>243</v>
      </c>
      <c r="H18" s="172" t="s">
        <v>244</v>
      </c>
      <c r="I18" s="174" t="s">
        <v>245</v>
      </c>
      <c r="J18" s="174" t="s">
        <v>246</v>
      </c>
      <c r="K18" s="174" t="s">
        <v>247</v>
      </c>
      <c r="L18" s="174"/>
      <c r="M18" s="173" t="s">
        <v>187</v>
      </c>
      <c r="N18" s="173" t="s">
        <v>188</v>
      </c>
      <c r="O18" s="173" t="s">
        <v>173</v>
      </c>
      <c r="P18" s="171" t="s">
        <v>159</v>
      </c>
      <c r="S18" s="171" t="s">
        <v>160</v>
      </c>
      <c r="T18" s="171" t="s">
        <v>161</v>
      </c>
      <c r="U18" s="171" t="s">
        <v>248</v>
      </c>
      <c r="V18" s="171" t="s">
        <v>249</v>
      </c>
      <c r="X18" s="174" t="s">
        <v>250</v>
      </c>
      <c r="Y18" s="174" t="s">
        <v>251</v>
      </c>
    </row>
    <row r="19" spans="1:25" s="178" customFormat="1" ht="12" customHeight="1" x14ac:dyDescent="0.2">
      <c r="A19" s="179">
        <v>9</v>
      </c>
      <c r="B19" s="180" t="s">
        <v>252</v>
      </c>
      <c r="C19" s="181" t="s">
        <v>253</v>
      </c>
      <c r="D19" s="182" t="s">
        <v>194</v>
      </c>
      <c r="E19" s="182" t="s">
        <v>254</v>
      </c>
      <c r="F19" s="182" t="s">
        <v>194</v>
      </c>
      <c r="G19" s="183" t="s">
        <v>255</v>
      </c>
      <c r="H19" s="184" t="s">
        <v>256</v>
      </c>
      <c r="I19" s="183" t="s">
        <v>257</v>
      </c>
      <c r="J19" s="183" t="s">
        <v>258</v>
      </c>
      <c r="K19" s="185" t="s">
        <v>259</v>
      </c>
      <c r="L19" s="183"/>
      <c r="M19" s="182" t="s">
        <v>156</v>
      </c>
      <c r="N19" s="182" t="s">
        <v>157</v>
      </c>
      <c r="O19" s="182" t="s">
        <v>173</v>
      </c>
      <c r="P19" s="180" t="s">
        <v>159</v>
      </c>
      <c r="S19" s="186" t="s">
        <v>160</v>
      </c>
      <c r="T19" s="186" t="s">
        <v>161</v>
      </c>
      <c r="U19" s="186" t="s">
        <v>260</v>
      </c>
      <c r="V19" s="186" t="s">
        <v>261</v>
      </c>
      <c r="W19" s="187"/>
      <c r="X19" s="185" t="s">
        <v>262</v>
      </c>
      <c r="Y19" s="185" t="s">
        <v>263</v>
      </c>
    </row>
    <row r="20" spans="1:25" ht="12" customHeight="1" x14ac:dyDescent="0.2">
      <c r="A20" s="166">
        <v>10</v>
      </c>
      <c r="B20" s="171" t="s">
        <v>264</v>
      </c>
      <c r="C20" s="172" t="s">
        <v>265</v>
      </c>
      <c r="D20" s="173" t="s">
        <v>194</v>
      </c>
      <c r="E20" s="173" t="s">
        <v>254</v>
      </c>
      <c r="F20" s="173" t="s">
        <v>194</v>
      </c>
      <c r="G20" s="174" t="s">
        <v>266</v>
      </c>
      <c r="H20" s="172" t="s">
        <v>267</v>
      </c>
      <c r="I20" s="174" t="s">
        <v>268</v>
      </c>
      <c r="J20" s="174" t="s">
        <v>269</v>
      </c>
      <c r="K20" s="174" t="s">
        <v>270</v>
      </c>
      <c r="L20" s="174"/>
      <c r="M20" s="173" t="s">
        <v>187</v>
      </c>
      <c r="N20" s="173" t="s">
        <v>188</v>
      </c>
      <c r="O20" s="173" t="s">
        <v>173</v>
      </c>
      <c r="P20" s="171" t="s">
        <v>159</v>
      </c>
      <c r="S20" s="171"/>
      <c r="T20" s="171"/>
      <c r="U20" s="171"/>
      <c r="V20" s="171"/>
      <c r="X20" s="174" t="s">
        <v>271</v>
      </c>
      <c r="Y20" s="174" t="s">
        <v>272</v>
      </c>
    </row>
    <row r="21" spans="1:25" ht="12" customHeight="1" x14ac:dyDescent="0.25">
      <c r="A21" s="166">
        <v>11</v>
      </c>
      <c r="B21" s="171" t="s">
        <v>273</v>
      </c>
      <c r="C21" s="172" t="s">
        <v>274</v>
      </c>
      <c r="D21" s="173" t="s">
        <v>167</v>
      </c>
      <c r="E21" s="173" t="s">
        <v>167</v>
      </c>
      <c r="F21" s="173" t="s">
        <v>275</v>
      </c>
      <c r="G21" s="174" t="s">
        <v>276</v>
      </c>
      <c r="H21" s="172" t="s">
        <v>274</v>
      </c>
      <c r="I21" s="174" t="s">
        <v>277</v>
      </c>
      <c r="J21" s="174" t="s">
        <v>278</v>
      </c>
      <c r="K21" s="174" t="s">
        <v>279</v>
      </c>
      <c r="L21" s="174"/>
      <c r="M21" s="173" t="s">
        <v>187</v>
      </c>
      <c r="N21" s="173" t="s">
        <v>157</v>
      </c>
      <c r="O21" s="173" t="s">
        <v>173</v>
      </c>
      <c r="P21" s="171" t="s">
        <v>159</v>
      </c>
      <c r="S21" s="171" t="s">
        <v>160</v>
      </c>
      <c r="T21" s="188" t="s">
        <v>161</v>
      </c>
      <c r="U21" s="189" t="s">
        <v>280</v>
      </c>
      <c r="V21" s="190" t="s">
        <v>281</v>
      </c>
      <c r="X21" s="174" t="s">
        <v>203</v>
      </c>
      <c r="Y21" s="174" t="s">
        <v>282</v>
      </c>
    </row>
    <row r="22" spans="1:25" ht="12" customHeight="1" x14ac:dyDescent="0.25">
      <c r="A22" s="166">
        <v>12</v>
      </c>
      <c r="B22" s="171" t="s">
        <v>283</v>
      </c>
      <c r="C22" s="172" t="s">
        <v>284</v>
      </c>
      <c r="D22" s="173" t="s">
        <v>285</v>
      </c>
      <c r="E22" s="173" t="s">
        <v>286</v>
      </c>
      <c r="F22" s="173" t="s">
        <v>287</v>
      </c>
      <c r="G22" s="174" t="s">
        <v>288</v>
      </c>
      <c r="H22" s="172" t="s">
        <v>289</v>
      </c>
      <c r="I22" s="174" t="s">
        <v>290</v>
      </c>
      <c r="J22" s="174" t="s">
        <v>291</v>
      </c>
      <c r="K22" s="174" t="s">
        <v>292</v>
      </c>
      <c r="L22" s="174"/>
      <c r="M22" s="173" t="s">
        <v>187</v>
      </c>
      <c r="N22" s="173" t="s">
        <v>188</v>
      </c>
      <c r="O22" s="173" t="s">
        <v>173</v>
      </c>
      <c r="P22" s="171" t="s">
        <v>159</v>
      </c>
      <c r="S22" s="171" t="s">
        <v>160</v>
      </c>
      <c r="T22" s="188" t="s">
        <v>161</v>
      </c>
      <c r="U22" s="171" t="s">
        <v>293</v>
      </c>
      <c r="V22" s="191"/>
      <c r="X22" s="174" t="s">
        <v>203</v>
      </c>
      <c r="Y22" s="174" t="s">
        <v>294</v>
      </c>
    </row>
    <row r="23" spans="1:25" ht="12" customHeight="1" x14ac:dyDescent="0.2">
      <c r="A23" s="166">
        <v>13</v>
      </c>
      <c r="B23" s="171" t="s">
        <v>295</v>
      </c>
      <c r="C23" s="172" t="s">
        <v>296</v>
      </c>
      <c r="D23" s="173" t="s">
        <v>285</v>
      </c>
      <c r="E23" s="173" t="s">
        <v>297</v>
      </c>
      <c r="F23" s="173" t="s">
        <v>298</v>
      </c>
      <c r="G23" s="174" t="s">
        <v>299</v>
      </c>
      <c r="H23" s="172" t="s">
        <v>296</v>
      </c>
      <c r="I23" s="174" t="s">
        <v>300</v>
      </c>
      <c r="J23" s="174" t="s">
        <v>301</v>
      </c>
      <c r="K23" s="174" t="s">
        <v>302</v>
      </c>
      <c r="L23" s="174"/>
      <c r="M23" s="173" t="s">
        <v>156</v>
      </c>
      <c r="N23" s="173" t="s">
        <v>157</v>
      </c>
      <c r="O23" s="173" t="s">
        <v>173</v>
      </c>
      <c r="P23" s="171" t="s">
        <v>159</v>
      </c>
      <c r="S23" s="171"/>
      <c r="T23" s="171"/>
      <c r="U23" s="171"/>
      <c r="V23" s="171"/>
      <c r="X23" s="174" t="s">
        <v>203</v>
      </c>
      <c r="Y23" s="174" t="s">
        <v>303</v>
      </c>
    </row>
    <row r="24" spans="1:25" ht="12" customHeight="1" x14ac:dyDescent="0.2">
      <c r="A24" s="166">
        <v>14</v>
      </c>
      <c r="B24" s="171" t="s">
        <v>304</v>
      </c>
      <c r="C24" s="172" t="s">
        <v>305</v>
      </c>
      <c r="D24" s="173" t="s">
        <v>306</v>
      </c>
      <c r="E24" s="173" t="s">
        <v>307</v>
      </c>
      <c r="F24" s="173" t="s">
        <v>306</v>
      </c>
      <c r="G24" s="174" t="s">
        <v>308</v>
      </c>
      <c r="H24" s="172" t="s">
        <v>305</v>
      </c>
      <c r="I24" s="174" t="s">
        <v>309</v>
      </c>
      <c r="J24" s="174" t="s">
        <v>310</v>
      </c>
      <c r="K24" s="174" t="s">
        <v>311</v>
      </c>
      <c r="L24" s="174"/>
      <c r="M24" s="173" t="s">
        <v>187</v>
      </c>
      <c r="N24" s="173" t="s">
        <v>157</v>
      </c>
      <c r="O24" s="173" t="s">
        <v>173</v>
      </c>
      <c r="P24" s="171" t="s">
        <v>159</v>
      </c>
      <c r="S24" s="171" t="s">
        <v>160</v>
      </c>
      <c r="T24" s="171" t="s">
        <v>161</v>
      </c>
      <c r="U24" s="171" t="s">
        <v>312</v>
      </c>
      <c r="V24" s="171" t="s">
        <v>313</v>
      </c>
      <c r="X24" s="174" t="s">
        <v>314</v>
      </c>
      <c r="Y24" s="174" t="s">
        <v>315</v>
      </c>
    </row>
    <row r="25" spans="1:25" ht="12" customHeight="1" x14ac:dyDescent="0.2">
      <c r="A25" s="166">
        <v>15</v>
      </c>
      <c r="B25" s="171" t="s">
        <v>316</v>
      </c>
      <c r="C25" s="172" t="s">
        <v>317</v>
      </c>
      <c r="D25" s="173" t="s">
        <v>206</v>
      </c>
      <c r="E25" s="173" t="s">
        <v>206</v>
      </c>
      <c r="F25" s="173" t="s">
        <v>206</v>
      </c>
      <c r="G25" s="174" t="s">
        <v>318</v>
      </c>
      <c r="H25" s="172" t="s">
        <v>319</v>
      </c>
      <c r="I25" s="174" t="s">
        <v>320</v>
      </c>
      <c r="J25" s="174" t="s">
        <v>321</v>
      </c>
      <c r="K25" s="174" t="s">
        <v>322</v>
      </c>
      <c r="L25" s="174"/>
      <c r="M25" s="173" t="s">
        <v>187</v>
      </c>
      <c r="N25" s="173" t="s">
        <v>188</v>
      </c>
      <c r="O25" s="173" t="s">
        <v>173</v>
      </c>
      <c r="P25" s="171" t="s">
        <v>159</v>
      </c>
      <c r="S25" s="171" t="s">
        <v>160</v>
      </c>
      <c r="T25" s="171" t="s">
        <v>161</v>
      </c>
      <c r="U25" s="171" t="s">
        <v>323</v>
      </c>
      <c r="V25" s="171" t="s">
        <v>324</v>
      </c>
      <c r="X25" s="174" t="s">
        <v>325</v>
      </c>
      <c r="Y25" s="174" t="s">
        <v>326</v>
      </c>
    </row>
    <row r="26" spans="1:25" ht="12" customHeight="1" x14ac:dyDescent="0.2">
      <c r="A26" s="166">
        <v>16</v>
      </c>
      <c r="B26" s="171" t="s">
        <v>327</v>
      </c>
      <c r="C26" s="172" t="s">
        <v>328</v>
      </c>
      <c r="D26" s="173" t="s">
        <v>167</v>
      </c>
      <c r="E26" s="173" t="s">
        <v>167</v>
      </c>
      <c r="F26" s="173" t="s">
        <v>329</v>
      </c>
      <c r="G26" s="174" t="s">
        <v>330</v>
      </c>
      <c r="H26" s="172" t="s">
        <v>331</v>
      </c>
      <c r="I26" s="174" t="s">
        <v>332</v>
      </c>
      <c r="J26" s="174" t="s">
        <v>333</v>
      </c>
      <c r="K26" s="174" t="s">
        <v>334</v>
      </c>
      <c r="L26" s="174"/>
      <c r="M26" s="173" t="s">
        <v>187</v>
      </c>
      <c r="N26" s="173" t="s">
        <v>157</v>
      </c>
      <c r="O26" s="173" t="s">
        <v>173</v>
      </c>
      <c r="P26" s="171" t="s">
        <v>159</v>
      </c>
      <c r="S26" s="171" t="s">
        <v>160</v>
      </c>
      <c r="T26" s="171" t="s">
        <v>161</v>
      </c>
      <c r="U26" s="171" t="s">
        <v>335</v>
      </c>
      <c r="V26" s="171" t="s">
        <v>336</v>
      </c>
      <c r="X26" s="174" t="s">
        <v>203</v>
      </c>
      <c r="Y26" s="174" t="s">
        <v>337</v>
      </c>
    </row>
    <row r="27" spans="1:25" ht="12" customHeight="1" x14ac:dyDescent="0.2">
      <c r="A27" s="166">
        <v>17</v>
      </c>
      <c r="B27" s="171" t="s">
        <v>338</v>
      </c>
      <c r="C27" s="172" t="s">
        <v>339</v>
      </c>
      <c r="D27" s="173" t="s">
        <v>340</v>
      </c>
      <c r="E27" s="173" t="s">
        <v>341</v>
      </c>
      <c r="F27" s="173" t="s">
        <v>341</v>
      </c>
      <c r="G27" s="174" t="s">
        <v>342</v>
      </c>
      <c r="H27" s="172" t="s">
        <v>343</v>
      </c>
      <c r="I27" s="174" t="s">
        <v>344</v>
      </c>
      <c r="J27" s="174" t="s">
        <v>345</v>
      </c>
      <c r="K27" s="174" t="s">
        <v>346</v>
      </c>
      <c r="L27" s="174"/>
      <c r="M27" s="173" t="s">
        <v>187</v>
      </c>
      <c r="N27" s="173" t="s">
        <v>188</v>
      </c>
      <c r="O27" s="173" t="s">
        <v>173</v>
      </c>
      <c r="P27" s="171" t="s">
        <v>159</v>
      </c>
      <c r="S27" s="171" t="s">
        <v>160</v>
      </c>
      <c r="T27" s="171" t="s">
        <v>161</v>
      </c>
      <c r="U27" s="171" t="s">
        <v>347</v>
      </c>
      <c r="V27" s="171" t="s">
        <v>348</v>
      </c>
      <c r="X27" s="174" t="s">
        <v>203</v>
      </c>
      <c r="Y27" s="174" t="s">
        <v>349</v>
      </c>
    </row>
    <row r="28" spans="1:25" ht="12" customHeight="1" x14ac:dyDescent="0.2">
      <c r="A28" s="166">
        <v>18</v>
      </c>
      <c r="B28" s="167" t="s">
        <v>350</v>
      </c>
      <c r="C28" s="168" t="s">
        <v>351</v>
      </c>
      <c r="D28" s="169" t="s">
        <v>228</v>
      </c>
      <c r="E28" s="169" t="s">
        <v>352</v>
      </c>
      <c r="F28" s="169" t="s">
        <v>352</v>
      </c>
      <c r="G28" s="170" t="s">
        <v>353</v>
      </c>
      <c r="H28" s="168" t="s">
        <v>354</v>
      </c>
      <c r="I28" s="170" t="s">
        <v>355</v>
      </c>
      <c r="J28" s="170" t="s">
        <v>356</v>
      </c>
      <c r="K28" s="170" t="s">
        <v>357</v>
      </c>
      <c r="L28" s="170"/>
      <c r="M28" s="169" t="s">
        <v>187</v>
      </c>
      <c r="N28" s="169" t="s">
        <v>157</v>
      </c>
      <c r="O28" s="169" t="s">
        <v>158</v>
      </c>
      <c r="P28" s="167" t="s">
        <v>159</v>
      </c>
      <c r="S28" s="167" t="s">
        <v>160</v>
      </c>
      <c r="T28" s="167" t="s">
        <v>161</v>
      </c>
      <c r="U28" s="167" t="s">
        <v>358</v>
      </c>
      <c r="V28" s="167"/>
      <c r="X28" s="170" t="s">
        <v>203</v>
      </c>
      <c r="Y28" s="170" t="s">
        <v>359</v>
      </c>
    </row>
    <row r="29" spans="1:25" ht="12" customHeight="1" x14ac:dyDescent="0.2">
      <c r="A29" s="166">
        <v>19</v>
      </c>
      <c r="B29" s="171" t="s">
        <v>360</v>
      </c>
      <c r="C29" s="172" t="s">
        <v>361</v>
      </c>
      <c r="D29" s="173" t="s">
        <v>242</v>
      </c>
      <c r="E29" s="173" t="s">
        <v>362</v>
      </c>
      <c r="F29" s="173" t="s">
        <v>362</v>
      </c>
      <c r="G29" s="174" t="s">
        <v>363</v>
      </c>
      <c r="H29" s="172" t="s">
        <v>361</v>
      </c>
      <c r="I29" s="174">
        <v>976646029</v>
      </c>
      <c r="J29" s="174" t="s">
        <v>364</v>
      </c>
      <c r="K29" s="174" t="s">
        <v>365</v>
      </c>
      <c r="L29" s="174"/>
      <c r="M29" s="173" t="s">
        <v>187</v>
      </c>
      <c r="N29" s="173" t="s">
        <v>157</v>
      </c>
      <c r="O29" s="173" t="s">
        <v>173</v>
      </c>
      <c r="P29" s="171" t="s">
        <v>159</v>
      </c>
      <c r="S29" s="171" t="s">
        <v>160</v>
      </c>
      <c r="T29" s="171" t="s">
        <v>161</v>
      </c>
      <c r="U29" s="171" t="s">
        <v>366</v>
      </c>
      <c r="V29" s="171" t="s">
        <v>367</v>
      </c>
      <c r="X29" s="174" t="s">
        <v>368</v>
      </c>
      <c r="Y29" s="174" t="s">
        <v>369</v>
      </c>
    </row>
    <row r="30" spans="1:25" ht="12" customHeight="1" x14ac:dyDescent="0.2">
      <c r="A30" s="166">
        <v>20</v>
      </c>
      <c r="B30" s="171" t="s">
        <v>370</v>
      </c>
      <c r="C30" s="172" t="s">
        <v>371</v>
      </c>
      <c r="D30" s="173" t="s">
        <v>372</v>
      </c>
      <c r="E30" s="173" t="s">
        <v>373</v>
      </c>
      <c r="F30" s="173" t="s">
        <v>373</v>
      </c>
      <c r="G30" s="174" t="s">
        <v>374</v>
      </c>
      <c r="H30" s="172" t="s">
        <v>375</v>
      </c>
      <c r="I30" s="174" t="s">
        <v>376</v>
      </c>
      <c r="J30" s="174" t="s">
        <v>377</v>
      </c>
      <c r="K30" s="174" t="s">
        <v>378</v>
      </c>
      <c r="L30" s="174"/>
      <c r="M30" s="173" t="s">
        <v>156</v>
      </c>
      <c r="N30" s="173" t="s">
        <v>188</v>
      </c>
      <c r="O30" s="173" t="s">
        <v>173</v>
      </c>
      <c r="P30" s="171" t="s">
        <v>159</v>
      </c>
      <c r="S30" s="171"/>
      <c r="T30" s="171"/>
      <c r="U30" s="171"/>
      <c r="V30" s="171"/>
      <c r="X30" s="174" t="s">
        <v>379</v>
      </c>
      <c r="Y30" s="174" t="s">
        <v>380</v>
      </c>
    </row>
    <row r="31" spans="1:25" ht="12" customHeight="1" x14ac:dyDescent="0.2">
      <c r="A31" s="166">
        <v>21</v>
      </c>
      <c r="B31" s="171" t="s">
        <v>381</v>
      </c>
      <c r="C31" s="172" t="s">
        <v>382</v>
      </c>
      <c r="D31" s="173" t="s">
        <v>242</v>
      </c>
      <c r="E31" s="173" t="s">
        <v>242</v>
      </c>
      <c r="F31" s="173" t="s">
        <v>242</v>
      </c>
      <c r="G31" s="174" t="s">
        <v>383</v>
      </c>
      <c r="H31" s="172" t="s">
        <v>384</v>
      </c>
      <c r="I31" s="174" t="s">
        <v>385</v>
      </c>
      <c r="J31" s="174" t="s">
        <v>386</v>
      </c>
      <c r="K31" s="174" t="s">
        <v>387</v>
      </c>
      <c r="L31" s="174"/>
      <c r="M31" s="173" t="s">
        <v>156</v>
      </c>
      <c r="N31" s="173" t="s">
        <v>188</v>
      </c>
      <c r="O31" s="173" t="s">
        <v>173</v>
      </c>
      <c r="P31" s="171" t="s">
        <v>159</v>
      </c>
      <c r="S31" s="171" t="s">
        <v>160</v>
      </c>
      <c r="T31" s="171" t="s">
        <v>161</v>
      </c>
      <c r="U31" s="171" t="s">
        <v>388</v>
      </c>
      <c r="V31" s="171" t="s">
        <v>389</v>
      </c>
      <c r="X31" s="174" t="s">
        <v>390</v>
      </c>
      <c r="Y31" s="174" t="s">
        <v>391</v>
      </c>
    </row>
    <row r="32" spans="1:25" ht="12" customHeight="1" x14ac:dyDescent="0.2">
      <c r="A32" s="166">
        <v>22</v>
      </c>
      <c r="B32" s="171" t="s">
        <v>392</v>
      </c>
      <c r="C32" s="172" t="s">
        <v>393</v>
      </c>
      <c r="D32" s="173" t="s">
        <v>394</v>
      </c>
      <c r="E32" s="173" t="s">
        <v>395</v>
      </c>
      <c r="F32" s="173" t="s">
        <v>396</v>
      </c>
      <c r="G32" s="174" t="s">
        <v>397</v>
      </c>
      <c r="H32" s="172" t="s">
        <v>393</v>
      </c>
      <c r="I32" s="174" t="s">
        <v>398</v>
      </c>
      <c r="J32" s="174" t="s">
        <v>399</v>
      </c>
      <c r="K32" s="174" t="s">
        <v>400</v>
      </c>
      <c r="L32" s="174"/>
      <c r="M32" s="173" t="s">
        <v>187</v>
      </c>
      <c r="N32" s="173" t="s">
        <v>201</v>
      </c>
      <c r="O32" s="173" t="s">
        <v>173</v>
      </c>
      <c r="P32" s="171" t="s">
        <v>159</v>
      </c>
      <c r="S32" s="171" t="s">
        <v>160</v>
      </c>
      <c r="T32" s="171" t="s">
        <v>161</v>
      </c>
      <c r="U32" s="171" t="s">
        <v>401</v>
      </c>
      <c r="V32" s="171" t="s">
        <v>402</v>
      </c>
      <c r="X32" s="174" t="s">
        <v>203</v>
      </c>
      <c r="Y32" s="174" t="s">
        <v>403</v>
      </c>
    </row>
    <row r="33" spans="1:25" ht="12" customHeight="1" x14ac:dyDescent="0.2">
      <c r="A33" s="166">
        <v>23</v>
      </c>
      <c r="B33" s="171" t="s">
        <v>404</v>
      </c>
      <c r="C33" s="172" t="s">
        <v>405</v>
      </c>
      <c r="D33" s="173" t="s">
        <v>167</v>
      </c>
      <c r="E33" s="173" t="s">
        <v>167</v>
      </c>
      <c r="F33" s="173" t="s">
        <v>406</v>
      </c>
      <c r="G33" s="174" t="s">
        <v>407</v>
      </c>
      <c r="H33" s="172" t="s">
        <v>405</v>
      </c>
      <c r="I33" s="174" t="s">
        <v>408</v>
      </c>
      <c r="J33" s="174" t="s">
        <v>409</v>
      </c>
      <c r="K33" s="174" t="s">
        <v>410</v>
      </c>
      <c r="L33" s="174"/>
      <c r="M33" s="173" t="s">
        <v>187</v>
      </c>
      <c r="N33" s="173" t="s">
        <v>188</v>
      </c>
      <c r="O33" s="173" t="s">
        <v>173</v>
      </c>
      <c r="P33" s="171" t="s">
        <v>159</v>
      </c>
      <c r="S33" s="171"/>
      <c r="T33" s="171"/>
      <c r="U33" s="171"/>
      <c r="V33" s="171"/>
      <c r="X33" s="174" t="s">
        <v>203</v>
      </c>
      <c r="Y33" s="174" t="s">
        <v>411</v>
      </c>
    </row>
    <row r="34" spans="1:25" ht="12" customHeight="1" x14ac:dyDescent="0.2">
      <c r="A34" s="166">
        <v>24</v>
      </c>
      <c r="B34" s="171" t="s">
        <v>412</v>
      </c>
      <c r="C34" s="172" t="s">
        <v>413</v>
      </c>
      <c r="D34" s="173" t="s">
        <v>167</v>
      </c>
      <c r="E34" s="173" t="s">
        <v>167</v>
      </c>
      <c r="F34" s="173" t="s">
        <v>414</v>
      </c>
      <c r="G34" s="174" t="s">
        <v>415</v>
      </c>
      <c r="H34" s="172" t="s">
        <v>416</v>
      </c>
      <c r="I34" s="174" t="s">
        <v>417</v>
      </c>
      <c r="J34" s="174" t="s">
        <v>418</v>
      </c>
      <c r="K34" s="174" t="s">
        <v>419</v>
      </c>
      <c r="L34" s="174"/>
      <c r="M34" s="173" t="s">
        <v>156</v>
      </c>
      <c r="N34" s="173" t="s">
        <v>188</v>
      </c>
      <c r="O34" s="173" t="s">
        <v>173</v>
      </c>
      <c r="P34" s="171" t="s">
        <v>159</v>
      </c>
      <c r="S34" s="171"/>
      <c r="T34" s="171"/>
      <c r="U34" s="171"/>
      <c r="V34" s="171"/>
      <c r="X34" s="174" t="s">
        <v>203</v>
      </c>
      <c r="Y34" s="174" t="s">
        <v>420</v>
      </c>
    </row>
    <row r="35" spans="1:25" ht="12" customHeight="1" x14ac:dyDescent="0.2">
      <c r="A35" s="166">
        <v>25</v>
      </c>
      <c r="B35" s="171" t="s">
        <v>421</v>
      </c>
      <c r="C35" s="172" t="s">
        <v>422</v>
      </c>
      <c r="D35" s="173" t="s">
        <v>167</v>
      </c>
      <c r="E35" s="173" t="s">
        <v>167</v>
      </c>
      <c r="F35" s="173" t="s">
        <v>423</v>
      </c>
      <c r="G35" s="174" t="s">
        <v>424</v>
      </c>
      <c r="H35" s="172" t="s">
        <v>422</v>
      </c>
      <c r="I35" s="174" t="s">
        <v>425</v>
      </c>
      <c r="J35" s="174" t="s">
        <v>426</v>
      </c>
      <c r="K35" s="174" t="s">
        <v>427</v>
      </c>
      <c r="L35" s="174"/>
      <c r="M35" s="173" t="s">
        <v>156</v>
      </c>
      <c r="N35" s="173" t="s">
        <v>157</v>
      </c>
      <c r="O35" s="173" t="s">
        <v>173</v>
      </c>
      <c r="P35" s="171" t="s">
        <v>159</v>
      </c>
      <c r="S35" s="171" t="s">
        <v>160</v>
      </c>
      <c r="T35" s="171" t="s">
        <v>161</v>
      </c>
      <c r="U35" s="171" t="s">
        <v>428</v>
      </c>
      <c r="V35" s="171" t="s">
        <v>429</v>
      </c>
      <c r="X35" s="174" t="s">
        <v>203</v>
      </c>
      <c r="Y35" s="174" t="s">
        <v>430</v>
      </c>
    </row>
    <row r="36" spans="1:25" ht="12" customHeight="1" x14ac:dyDescent="0.2">
      <c r="A36" s="166">
        <v>26</v>
      </c>
      <c r="B36" s="171" t="s">
        <v>431</v>
      </c>
      <c r="C36" s="172" t="s">
        <v>432</v>
      </c>
      <c r="D36" s="173" t="s">
        <v>167</v>
      </c>
      <c r="E36" s="173" t="s">
        <v>167</v>
      </c>
      <c r="F36" s="173" t="s">
        <v>433</v>
      </c>
      <c r="G36" s="174" t="s">
        <v>434</v>
      </c>
      <c r="H36" s="172" t="s">
        <v>435</v>
      </c>
      <c r="I36" s="174" t="s">
        <v>436</v>
      </c>
      <c r="J36" s="174" t="s">
        <v>437</v>
      </c>
      <c r="K36" s="174" t="s">
        <v>438</v>
      </c>
      <c r="L36" s="174"/>
      <c r="M36" s="173" t="s">
        <v>187</v>
      </c>
      <c r="N36" s="173" t="s">
        <v>188</v>
      </c>
      <c r="O36" s="173" t="s">
        <v>173</v>
      </c>
      <c r="P36" s="171" t="s">
        <v>159</v>
      </c>
      <c r="S36" s="171" t="s">
        <v>160</v>
      </c>
      <c r="T36" s="171" t="s">
        <v>161</v>
      </c>
      <c r="U36" s="171" t="s">
        <v>439</v>
      </c>
      <c r="V36" s="171" t="s">
        <v>440</v>
      </c>
      <c r="X36" s="174" t="s">
        <v>203</v>
      </c>
      <c r="Y36" s="174" t="s">
        <v>441</v>
      </c>
    </row>
    <row r="37" spans="1:25" ht="12" customHeight="1" x14ac:dyDescent="0.25">
      <c r="A37" s="166">
        <v>27</v>
      </c>
      <c r="B37" s="167" t="s">
        <v>442</v>
      </c>
      <c r="C37" s="168" t="s">
        <v>443</v>
      </c>
      <c r="D37" s="169" t="s">
        <v>167</v>
      </c>
      <c r="E37" s="169" t="s">
        <v>167</v>
      </c>
      <c r="F37" s="169" t="s">
        <v>444</v>
      </c>
      <c r="G37" s="170" t="s">
        <v>445</v>
      </c>
      <c r="H37" s="168" t="s">
        <v>443</v>
      </c>
      <c r="I37" s="170" t="s">
        <v>446</v>
      </c>
      <c r="J37" s="170" t="s">
        <v>447</v>
      </c>
      <c r="K37" s="170" t="s">
        <v>448</v>
      </c>
      <c r="L37" s="170"/>
      <c r="M37" s="169" t="s">
        <v>156</v>
      </c>
      <c r="N37" s="169" t="s">
        <v>157</v>
      </c>
      <c r="O37" s="169" t="s">
        <v>158</v>
      </c>
      <c r="P37" s="167" t="s">
        <v>159</v>
      </c>
      <c r="S37" s="167" t="s">
        <v>160</v>
      </c>
      <c r="T37" s="167" t="s">
        <v>161</v>
      </c>
      <c r="U37" s="192" t="s">
        <v>449</v>
      </c>
      <c r="V37" s="167" t="s">
        <v>450</v>
      </c>
      <c r="X37" s="170" t="s">
        <v>203</v>
      </c>
      <c r="Y37" s="170" t="s">
        <v>451</v>
      </c>
    </row>
    <row r="38" spans="1:25" ht="12" customHeight="1" x14ac:dyDescent="0.2">
      <c r="A38" s="166">
        <v>28</v>
      </c>
      <c r="B38" s="171" t="s">
        <v>452</v>
      </c>
      <c r="C38" s="172" t="s">
        <v>453</v>
      </c>
      <c r="D38" s="173" t="s">
        <v>167</v>
      </c>
      <c r="E38" s="173" t="s">
        <v>167</v>
      </c>
      <c r="F38" s="173" t="s">
        <v>454</v>
      </c>
      <c r="G38" s="174" t="s">
        <v>455</v>
      </c>
      <c r="H38" s="172" t="s">
        <v>456</v>
      </c>
      <c r="I38" s="174" t="s">
        <v>457</v>
      </c>
      <c r="J38" s="174" t="s">
        <v>458</v>
      </c>
      <c r="K38" s="174" t="s">
        <v>459</v>
      </c>
      <c r="L38" s="193" t="s">
        <v>460</v>
      </c>
      <c r="M38" s="173" t="s">
        <v>187</v>
      </c>
      <c r="N38" s="173" t="s">
        <v>157</v>
      </c>
      <c r="O38" s="173" t="s">
        <v>173</v>
      </c>
      <c r="P38" s="171" t="s">
        <v>159</v>
      </c>
      <c r="S38" s="171" t="s">
        <v>160</v>
      </c>
      <c r="T38" s="171" t="s">
        <v>161</v>
      </c>
      <c r="U38" s="171" t="s">
        <v>461</v>
      </c>
      <c r="V38" s="171" t="s">
        <v>462</v>
      </c>
      <c r="X38" s="174" t="s">
        <v>203</v>
      </c>
      <c r="Y38" s="174" t="s">
        <v>463</v>
      </c>
    </row>
    <row r="39" spans="1:25" ht="12" customHeight="1" x14ac:dyDescent="0.2">
      <c r="A39" s="166">
        <v>29</v>
      </c>
      <c r="B39" s="171" t="s">
        <v>464</v>
      </c>
      <c r="C39" s="172" t="s">
        <v>465</v>
      </c>
      <c r="D39" s="173" t="s">
        <v>167</v>
      </c>
      <c r="E39" s="173" t="s">
        <v>167</v>
      </c>
      <c r="F39" s="173" t="s">
        <v>466</v>
      </c>
      <c r="G39" s="174" t="s">
        <v>467</v>
      </c>
      <c r="H39" s="172" t="s">
        <v>468</v>
      </c>
      <c r="I39" s="174" t="s">
        <v>469</v>
      </c>
      <c r="J39" s="174" t="s">
        <v>470</v>
      </c>
      <c r="K39" s="174" t="s">
        <v>471</v>
      </c>
      <c r="L39" s="174"/>
      <c r="M39" s="173" t="s">
        <v>156</v>
      </c>
      <c r="N39" s="173" t="s">
        <v>157</v>
      </c>
      <c r="O39" s="173" t="s">
        <v>173</v>
      </c>
      <c r="P39" s="171" t="s">
        <v>159</v>
      </c>
      <c r="S39" s="171" t="s">
        <v>160</v>
      </c>
      <c r="T39" s="171" t="s">
        <v>161</v>
      </c>
      <c r="U39" s="171" t="s">
        <v>472</v>
      </c>
      <c r="V39" s="171" t="s">
        <v>473</v>
      </c>
      <c r="X39" s="174" t="s">
        <v>474</v>
      </c>
      <c r="Y39" s="174" t="s">
        <v>475</v>
      </c>
    </row>
    <row r="40" spans="1:25" ht="12" customHeight="1" x14ac:dyDescent="0.2">
      <c r="A40" s="166">
        <v>30</v>
      </c>
      <c r="B40" s="171" t="s">
        <v>476</v>
      </c>
      <c r="C40" s="172" t="s">
        <v>477</v>
      </c>
      <c r="D40" s="173" t="s">
        <v>167</v>
      </c>
      <c r="E40" s="173" t="s">
        <v>167</v>
      </c>
      <c r="F40" s="173" t="s">
        <v>466</v>
      </c>
      <c r="G40" s="174" t="s">
        <v>478</v>
      </c>
      <c r="H40" s="172" t="s">
        <v>477</v>
      </c>
      <c r="I40" s="174" t="s">
        <v>479</v>
      </c>
      <c r="J40" s="174" t="s">
        <v>480</v>
      </c>
      <c r="K40" s="174" t="s">
        <v>481</v>
      </c>
      <c r="L40" s="174"/>
      <c r="M40" s="173" t="s">
        <v>156</v>
      </c>
      <c r="N40" s="173" t="s">
        <v>188</v>
      </c>
      <c r="O40" s="173" t="s">
        <v>173</v>
      </c>
      <c r="P40" s="171" t="s">
        <v>159</v>
      </c>
      <c r="S40" s="171" t="s">
        <v>160</v>
      </c>
      <c r="T40" s="171" t="s">
        <v>161</v>
      </c>
      <c r="U40" s="171" t="s">
        <v>482</v>
      </c>
      <c r="V40" s="171"/>
      <c r="X40" s="174" t="s">
        <v>203</v>
      </c>
      <c r="Y40" s="174" t="s">
        <v>483</v>
      </c>
    </row>
    <row r="41" spans="1:25" ht="12" customHeight="1" x14ac:dyDescent="0.2">
      <c r="A41" s="166">
        <v>31</v>
      </c>
      <c r="B41" s="171" t="s">
        <v>484</v>
      </c>
      <c r="C41" s="172" t="s">
        <v>485</v>
      </c>
      <c r="D41" s="173" t="s">
        <v>486</v>
      </c>
      <c r="E41" s="173" t="s">
        <v>486</v>
      </c>
      <c r="F41" s="173" t="s">
        <v>486</v>
      </c>
      <c r="G41" s="174" t="s">
        <v>487</v>
      </c>
      <c r="H41" s="172" t="s">
        <v>488</v>
      </c>
      <c r="I41" s="174" t="s">
        <v>489</v>
      </c>
      <c r="J41" s="174" t="s">
        <v>490</v>
      </c>
      <c r="K41" s="174" t="s">
        <v>491</v>
      </c>
      <c r="L41" s="194"/>
      <c r="M41" s="173" t="s">
        <v>187</v>
      </c>
      <c r="N41" s="173" t="s">
        <v>188</v>
      </c>
      <c r="O41" s="173" t="s">
        <v>173</v>
      </c>
      <c r="P41" s="171" t="s">
        <v>159</v>
      </c>
      <c r="S41" s="171" t="s">
        <v>160</v>
      </c>
      <c r="T41" s="171" t="s">
        <v>161</v>
      </c>
      <c r="U41" s="171" t="s">
        <v>492</v>
      </c>
      <c r="V41" s="171" t="s">
        <v>493</v>
      </c>
      <c r="X41" s="194" t="s">
        <v>203</v>
      </c>
      <c r="Y41" s="194" t="s">
        <v>494</v>
      </c>
    </row>
    <row r="42" spans="1:25" ht="12" customHeight="1" x14ac:dyDescent="0.2">
      <c r="A42" s="166">
        <v>32</v>
      </c>
      <c r="B42" s="171" t="s">
        <v>495</v>
      </c>
      <c r="C42" s="172" t="s">
        <v>496</v>
      </c>
      <c r="D42" s="173" t="s">
        <v>497</v>
      </c>
      <c r="E42" s="173" t="s">
        <v>498</v>
      </c>
      <c r="F42" s="173" t="s">
        <v>499</v>
      </c>
      <c r="G42" s="174" t="s">
        <v>500</v>
      </c>
      <c r="H42" s="172" t="s">
        <v>501</v>
      </c>
      <c r="I42" s="174" t="s">
        <v>502</v>
      </c>
      <c r="J42" s="174" t="s">
        <v>503</v>
      </c>
      <c r="K42" s="174" t="s">
        <v>504</v>
      </c>
      <c r="L42" s="174"/>
      <c r="M42" s="173" t="s">
        <v>187</v>
      </c>
      <c r="N42" s="173" t="s">
        <v>157</v>
      </c>
      <c r="O42" s="173" t="s">
        <v>173</v>
      </c>
      <c r="P42" s="171" t="s">
        <v>159</v>
      </c>
      <c r="S42" s="171" t="s">
        <v>160</v>
      </c>
      <c r="T42" s="171" t="s">
        <v>161</v>
      </c>
      <c r="U42" s="171" t="s">
        <v>505</v>
      </c>
      <c r="V42" s="171"/>
      <c r="X42" s="174" t="s">
        <v>203</v>
      </c>
      <c r="Y42" s="174" t="s">
        <v>506</v>
      </c>
    </row>
    <row r="43" spans="1:25" ht="12" customHeight="1" x14ac:dyDescent="0.2">
      <c r="A43" s="166">
        <v>33</v>
      </c>
      <c r="B43" s="171" t="s">
        <v>507</v>
      </c>
      <c r="C43" s="172" t="s">
        <v>508</v>
      </c>
      <c r="D43" s="173" t="s">
        <v>372</v>
      </c>
      <c r="E43" s="173" t="s">
        <v>373</v>
      </c>
      <c r="F43" s="173" t="s">
        <v>373</v>
      </c>
      <c r="G43" s="174" t="s">
        <v>509</v>
      </c>
      <c r="H43" s="172" t="s">
        <v>510</v>
      </c>
      <c r="I43" s="174" t="s">
        <v>511</v>
      </c>
      <c r="J43" s="174" t="s">
        <v>512</v>
      </c>
      <c r="K43" s="174" t="s">
        <v>513</v>
      </c>
      <c r="L43" s="174"/>
      <c r="M43" s="173" t="s">
        <v>156</v>
      </c>
      <c r="N43" s="173" t="s">
        <v>157</v>
      </c>
      <c r="O43" s="173" t="s">
        <v>173</v>
      </c>
      <c r="P43" s="171" t="s">
        <v>159</v>
      </c>
      <c r="S43" s="171"/>
      <c r="T43" s="171"/>
      <c r="U43" s="171"/>
      <c r="V43" s="171"/>
      <c r="X43" s="174" t="s">
        <v>514</v>
      </c>
      <c r="Y43" s="174" t="s">
        <v>515</v>
      </c>
    </row>
    <row r="44" spans="1:25" ht="12" customHeight="1" x14ac:dyDescent="0.2">
      <c r="A44" s="166">
        <v>34</v>
      </c>
      <c r="B44" s="195" t="s">
        <v>516</v>
      </c>
      <c r="C44" s="196" t="s">
        <v>517</v>
      </c>
      <c r="D44" s="173" t="s">
        <v>372</v>
      </c>
      <c r="E44" s="173" t="s">
        <v>518</v>
      </c>
      <c r="F44" s="173" t="s">
        <v>519</v>
      </c>
      <c r="G44" s="174" t="s">
        <v>520</v>
      </c>
      <c r="H44" s="196" t="s">
        <v>517</v>
      </c>
      <c r="I44" s="174">
        <v>973904277</v>
      </c>
      <c r="J44" s="174" t="s">
        <v>521</v>
      </c>
      <c r="K44" s="174" t="s">
        <v>522</v>
      </c>
      <c r="L44" s="174"/>
      <c r="M44" s="173" t="s">
        <v>187</v>
      </c>
      <c r="N44" s="173" t="s">
        <v>157</v>
      </c>
      <c r="O44" s="173" t="s">
        <v>173</v>
      </c>
      <c r="P44" s="171" t="s">
        <v>159</v>
      </c>
      <c r="S44" s="171" t="s">
        <v>160</v>
      </c>
      <c r="T44" s="171" t="s">
        <v>161</v>
      </c>
      <c r="U44" s="171" t="s">
        <v>523</v>
      </c>
      <c r="V44" s="171" t="s">
        <v>524</v>
      </c>
      <c r="X44" s="174" t="s">
        <v>203</v>
      </c>
      <c r="Y44" s="174" t="s">
        <v>525</v>
      </c>
    </row>
    <row r="45" spans="1:25" ht="12" customHeight="1" x14ac:dyDescent="0.2">
      <c r="A45" s="166">
        <v>35</v>
      </c>
      <c r="B45" s="171" t="s">
        <v>526</v>
      </c>
      <c r="C45" s="172" t="s">
        <v>527</v>
      </c>
      <c r="D45" s="173" t="s">
        <v>167</v>
      </c>
      <c r="E45" s="173" t="s">
        <v>167</v>
      </c>
      <c r="F45" s="173" t="s">
        <v>528</v>
      </c>
      <c r="G45" s="174" t="s">
        <v>529</v>
      </c>
      <c r="H45" s="172" t="s">
        <v>530</v>
      </c>
      <c r="I45" s="174">
        <v>975013100</v>
      </c>
      <c r="J45" s="174" t="s">
        <v>531</v>
      </c>
      <c r="K45" s="174" t="s">
        <v>532</v>
      </c>
      <c r="L45" s="174"/>
      <c r="M45" s="173" t="s">
        <v>187</v>
      </c>
      <c r="N45" s="173" t="s">
        <v>188</v>
      </c>
      <c r="O45" s="173" t="s">
        <v>173</v>
      </c>
      <c r="P45" s="171" t="s">
        <v>159</v>
      </c>
      <c r="S45" s="171" t="s">
        <v>160</v>
      </c>
      <c r="T45" s="171" t="s">
        <v>161</v>
      </c>
      <c r="U45" s="171" t="s">
        <v>533</v>
      </c>
      <c r="V45" s="171" t="s">
        <v>534</v>
      </c>
      <c r="X45" s="174" t="s">
        <v>203</v>
      </c>
      <c r="Y45" s="174" t="s">
        <v>535</v>
      </c>
    </row>
    <row r="46" spans="1:25" ht="12" customHeight="1" x14ac:dyDescent="0.2">
      <c r="A46" s="166">
        <v>36</v>
      </c>
      <c r="B46" s="171" t="s">
        <v>526</v>
      </c>
      <c r="C46" s="172" t="s">
        <v>527</v>
      </c>
      <c r="D46" s="173" t="s">
        <v>167</v>
      </c>
      <c r="E46" s="173" t="s">
        <v>167</v>
      </c>
      <c r="F46" s="173" t="s">
        <v>433</v>
      </c>
      <c r="G46" s="174" t="s">
        <v>529</v>
      </c>
      <c r="H46" s="172" t="s">
        <v>530</v>
      </c>
      <c r="I46" s="174">
        <v>975013100</v>
      </c>
      <c r="J46" s="174" t="s">
        <v>531</v>
      </c>
      <c r="K46" s="174" t="s">
        <v>532</v>
      </c>
      <c r="L46" s="174"/>
      <c r="M46" s="173" t="s">
        <v>187</v>
      </c>
      <c r="N46" s="173" t="s">
        <v>188</v>
      </c>
      <c r="O46" s="173" t="s">
        <v>173</v>
      </c>
      <c r="P46" s="171" t="s">
        <v>159</v>
      </c>
      <c r="S46" s="171" t="s">
        <v>160</v>
      </c>
      <c r="T46" s="171" t="s">
        <v>161</v>
      </c>
      <c r="U46" s="171" t="s">
        <v>533</v>
      </c>
      <c r="V46" s="171" t="s">
        <v>534</v>
      </c>
      <c r="X46" s="174" t="s">
        <v>203</v>
      </c>
      <c r="Y46" s="174" t="s">
        <v>535</v>
      </c>
    </row>
    <row r="47" spans="1:25" ht="12" customHeight="1" x14ac:dyDescent="0.2">
      <c r="A47" s="166">
        <v>37</v>
      </c>
      <c r="B47" s="171" t="s">
        <v>536</v>
      </c>
      <c r="C47" s="172" t="s">
        <v>537</v>
      </c>
      <c r="D47" s="173" t="s">
        <v>167</v>
      </c>
      <c r="E47" s="173" t="s">
        <v>167</v>
      </c>
      <c r="F47" s="173" t="s">
        <v>538</v>
      </c>
      <c r="G47" s="174" t="s">
        <v>539</v>
      </c>
      <c r="H47" s="172" t="s">
        <v>537</v>
      </c>
      <c r="I47" s="174" t="s">
        <v>540</v>
      </c>
      <c r="J47" s="174" t="s">
        <v>541</v>
      </c>
      <c r="K47" s="174" t="s">
        <v>542</v>
      </c>
      <c r="L47" s="174"/>
      <c r="M47" s="173" t="s">
        <v>187</v>
      </c>
      <c r="N47" s="173" t="s">
        <v>188</v>
      </c>
      <c r="O47" s="173" t="s">
        <v>173</v>
      </c>
      <c r="P47" s="171" t="s">
        <v>159</v>
      </c>
      <c r="S47" s="171" t="s">
        <v>160</v>
      </c>
      <c r="T47" s="171" t="s">
        <v>161</v>
      </c>
      <c r="U47" s="171" t="s">
        <v>543</v>
      </c>
      <c r="V47" s="171" t="s">
        <v>544</v>
      </c>
      <c r="X47" s="174" t="s">
        <v>203</v>
      </c>
      <c r="Y47" s="174" t="s">
        <v>545</v>
      </c>
    </row>
    <row r="48" spans="1:25" ht="12" customHeight="1" x14ac:dyDescent="0.2">
      <c r="A48" s="166">
        <v>38</v>
      </c>
      <c r="B48" s="171" t="s">
        <v>546</v>
      </c>
      <c r="C48" s="172" t="s">
        <v>547</v>
      </c>
      <c r="D48" s="173" t="s">
        <v>167</v>
      </c>
      <c r="E48" s="173" t="s">
        <v>167</v>
      </c>
      <c r="F48" s="173" t="s">
        <v>548</v>
      </c>
      <c r="G48" s="174" t="s">
        <v>549</v>
      </c>
      <c r="H48" s="172" t="s">
        <v>550</v>
      </c>
      <c r="I48" s="174" t="s">
        <v>551</v>
      </c>
      <c r="J48" s="174" t="s">
        <v>552</v>
      </c>
      <c r="K48" s="174" t="s">
        <v>553</v>
      </c>
      <c r="L48" s="174"/>
      <c r="M48" s="173" t="s">
        <v>156</v>
      </c>
      <c r="N48" s="173" t="s">
        <v>188</v>
      </c>
      <c r="O48" s="173" t="s">
        <v>173</v>
      </c>
      <c r="P48" s="171" t="s">
        <v>159</v>
      </c>
      <c r="S48" s="171" t="s">
        <v>160</v>
      </c>
      <c r="T48" s="171" t="s">
        <v>161</v>
      </c>
      <c r="U48" s="171" t="s">
        <v>554</v>
      </c>
      <c r="V48" s="171" t="s">
        <v>555</v>
      </c>
      <c r="X48" s="174" t="s">
        <v>203</v>
      </c>
      <c r="Y48" s="174" t="s">
        <v>556</v>
      </c>
    </row>
    <row r="49" spans="1:25" ht="12" customHeight="1" x14ac:dyDescent="0.2">
      <c r="A49" s="166">
        <v>39</v>
      </c>
      <c r="B49" s="171" t="s">
        <v>557</v>
      </c>
      <c r="C49" s="172" t="s">
        <v>558</v>
      </c>
      <c r="D49" s="173" t="s">
        <v>340</v>
      </c>
      <c r="E49" s="173" t="s">
        <v>341</v>
      </c>
      <c r="F49" s="173" t="s">
        <v>341</v>
      </c>
      <c r="G49" s="174" t="s">
        <v>559</v>
      </c>
      <c r="H49" s="172" t="s">
        <v>560</v>
      </c>
      <c r="I49" s="174">
        <v>951771103</v>
      </c>
      <c r="J49" s="174" t="s">
        <v>561</v>
      </c>
      <c r="K49" s="174" t="s">
        <v>562</v>
      </c>
      <c r="L49" s="174"/>
      <c r="M49" s="173" t="s">
        <v>187</v>
      </c>
      <c r="N49" s="173" t="s">
        <v>188</v>
      </c>
      <c r="O49" s="173" t="s">
        <v>173</v>
      </c>
      <c r="P49" s="171" t="s">
        <v>159</v>
      </c>
      <c r="S49" s="171" t="s">
        <v>12</v>
      </c>
      <c r="T49" s="171" t="s">
        <v>161</v>
      </c>
      <c r="U49" s="171" t="s">
        <v>563</v>
      </c>
      <c r="V49" s="171" t="s">
        <v>564</v>
      </c>
      <c r="X49" s="174" t="s">
        <v>203</v>
      </c>
      <c r="Y49" s="174" t="s">
        <v>565</v>
      </c>
    </row>
    <row r="50" spans="1:25" ht="12" customHeight="1" x14ac:dyDescent="0.2">
      <c r="A50" s="166">
        <v>40</v>
      </c>
      <c r="B50" s="171" t="s">
        <v>557</v>
      </c>
      <c r="C50" s="172" t="s">
        <v>558</v>
      </c>
      <c r="D50" s="173" t="s">
        <v>340</v>
      </c>
      <c r="E50" s="173" t="s">
        <v>341</v>
      </c>
      <c r="F50" s="173" t="s">
        <v>341</v>
      </c>
      <c r="G50" s="174" t="s">
        <v>559</v>
      </c>
      <c r="H50" s="172" t="s">
        <v>560</v>
      </c>
      <c r="I50" s="174">
        <v>951771103</v>
      </c>
      <c r="J50" s="174" t="s">
        <v>561</v>
      </c>
      <c r="K50" s="174" t="s">
        <v>562</v>
      </c>
      <c r="L50" s="174"/>
      <c r="M50" s="173" t="s">
        <v>187</v>
      </c>
      <c r="N50" s="173" t="s">
        <v>566</v>
      </c>
      <c r="O50" s="173" t="s">
        <v>158</v>
      </c>
      <c r="P50" s="171" t="s">
        <v>159</v>
      </c>
      <c r="S50" s="171" t="s">
        <v>160</v>
      </c>
      <c r="T50" s="171" t="s">
        <v>161</v>
      </c>
      <c r="U50" s="171" t="s">
        <v>563</v>
      </c>
      <c r="V50" s="171" t="s">
        <v>564</v>
      </c>
      <c r="X50" s="174" t="s">
        <v>203</v>
      </c>
      <c r="Y50" s="174" t="s">
        <v>565</v>
      </c>
    </row>
    <row r="51" spans="1:25" ht="12" customHeight="1" x14ac:dyDescent="0.2">
      <c r="A51" s="166">
        <v>41</v>
      </c>
      <c r="B51" s="171" t="s">
        <v>567</v>
      </c>
      <c r="C51" s="172" t="s">
        <v>568</v>
      </c>
      <c r="D51" s="173" t="s">
        <v>394</v>
      </c>
      <c r="E51" s="173" t="s">
        <v>569</v>
      </c>
      <c r="F51" s="173" t="s">
        <v>570</v>
      </c>
      <c r="G51" s="174" t="s">
        <v>571</v>
      </c>
      <c r="H51" s="172" t="s">
        <v>568</v>
      </c>
      <c r="I51" s="174">
        <v>944257963</v>
      </c>
      <c r="J51" s="174" t="s">
        <v>572</v>
      </c>
      <c r="K51" s="174" t="s">
        <v>573</v>
      </c>
      <c r="L51" s="174"/>
      <c r="M51" s="173" t="s">
        <v>156</v>
      </c>
      <c r="N51" s="173" t="s">
        <v>201</v>
      </c>
      <c r="O51" s="173" t="s">
        <v>173</v>
      </c>
      <c r="P51" s="171" t="s">
        <v>159</v>
      </c>
      <c r="S51" s="171" t="s">
        <v>160</v>
      </c>
      <c r="T51" s="171" t="s">
        <v>574</v>
      </c>
      <c r="U51" s="171" t="s">
        <v>575</v>
      </c>
      <c r="V51" s="171"/>
      <c r="X51" s="174" t="s">
        <v>576</v>
      </c>
      <c r="Y51" s="174" t="s">
        <v>577</v>
      </c>
    </row>
    <row r="52" spans="1:25" ht="12" customHeight="1" x14ac:dyDescent="0.2">
      <c r="A52" s="166">
        <v>42</v>
      </c>
      <c r="B52" s="171" t="s">
        <v>567</v>
      </c>
      <c r="C52" s="172" t="s">
        <v>568</v>
      </c>
      <c r="D52" s="173" t="s">
        <v>394</v>
      </c>
      <c r="E52" s="173" t="s">
        <v>569</v>
      </c>
      <c r="F52" s="173" t="s">
        <v>570</v>
      </c>
      <c r="G52" s="174" t="s">
        <v>571</v>
      </c>
      <c r="H52" s="172" t="s">
        <v>568</v>
      </c>
      <c r="I52" s="174">
        <v>944257963</v>
      </c>
      <c r="J52" s="174" t="s">
        <v>572</v>
      </c>
      <c r="K52" s="174" t="s">
        <v>573</v>
      </c>
      <c r="L52" s="174"/>
      <c r="M52" s="173" t="s">
        <v>187</v>
      </c>
      <c r="N52" s="173" t="s">
        <v>201</v>
      </c>
      <c r="O52" s="173" t="s">
        <v>173</v>
      </c>
      <c r="P52" s="171" t="s">
        <v>159</v>
      </c>
      <c r="S52" s="171" t="s">
        <v>160</v>
      </c>
      <c r="T52" s="171" t="s">
        <v>574</v>
      </c>
      <c r="U52" s="171" t="s">
        <v>575</v>
      </c>
      <c r="V52" s="171"/>
      <c r="X52" s="174" t="s">
        <v>576</v>
      </c>
      <c r="Y52" s="174" t="s">
        <v>577</v>
      </c>
    </row>
    <row r="53" spans="1:25" ht="12" customHeight="1" x14ac:dyDescent="0.2">
      <c r="A53" s="166">
        <v>43</v>
      </c>
      <c r="B53" s="171" t="s">
        <v>578</v>
      </c>
      <c r="C53" s="172" t="s">
        <v>579</v>
      </c>
      <c r="D53" s="173" t="s">
        <v>167</v>
      </c>
      <c r="E53" s="173" t="s">
        <v>580</v>
      </c>
      <c r="F53" s="173" t="s">
        <v>580</v>
      </c>
      <c r="G53" s="174" t="s">
        <v>581</v>
      </c>
      <c r="H53" s="172" t="s">
        <v>582</v>
      </c>
      <c r="I53" s="174" t="s">
        <v>583</v>
      </c>
      <c r="J53" s="174" t="s">
        <v>584</v>
      </c>
      <c r="K53" s="174" t="s">
        <v>585</v>
      </c>
      <c r="L53" s="174"/>
      <c r="M53" s="173" t="s">
        <v>187</v>
      </c>
      <c r="N53" s="173" t="s">
        <v>188</v>
      </c>
      <c r="O53" s="173" t="s">
        <v>173</v>
      </c>
      <c r="P53" s="171" t="s">
        <v>159</v>
      </c>
      <c r="S53" s="171" t="s">
        <v>160</v>
      </c>
      <c r="T53" s="171" t="s">
        <v>161</v>
      </c>
      <c r="U53" s="171" t="s">
        <v>586</v>
      </c>
      <c r="V53" s="171" t="s">
        <v>587</v>
      </c>
      <c r="X53" s="174" t="s">
        <v>203</v>
      </c>
      <c r="Y53" s="174" t="s">
        <v>588</v>
      </c>
    </row>
    <row r="54" spans="1:25" ht="12" customHeight="1" x14ac:dyDescent="0.2">
      <c r="A54" s="166">
        <v>44</v>
      </c>
      <c r="B54" s="171" t="s">
        <v>589</v>
      </c>
      <c r="C54" s="172" t="s">
        <v>590</v>
      </c>
      <c r="D54" s="173" t="s">
        <v>180</v>
      </c>
      <c r="E54" s="173" t="s">
        <v>181</v>
      </c>
      <c r="F54" s="173" t="s">
        <v>591</v>
      </c>
      <c r="G54" s="174" t="s">
        <v>592</v>
      </c>
      <c r="H54" s="172" t="s">
        <v>593</v>
      </c>
      <c r="I54" s="174" t="s">
        <v>594</v>
      </c>
      <c r="J54" s="174" t="s">
        <v>595</v>
      </c>
      <c r="K54" s="174" t="s">
        <v>596</v>
      </c>
      <c r="L54" s="174"/>
      <c r="M54" s="173" t="s">
        <v>156</v>
      </c>
      <c r="N54" s="173" t="s">
        <v>157</v>
      </c>
      <c r="O54" s="173" t="s">
        <v>173</v>
      </c>
      <c r="P54" s="171" t="s">
        <v>159</v>
      </c>
      <c r="S54" s="171" t="s">
        <v>160</v>
      </c>
      <c r="T54" s="171" t="s">
        <v>161</v>
      </c>
      <c r="U54" s="171" t="s">
        <v>597</v>
      </c>
      <c r="V54" s="171" t="s">
        <v>598</v>
      </c>
      <c r="X54" s="174" t="s">
        <v>599</v>
      </c>
      <c r="Y54" s="174" t="s">
        <v>600</v>
      </c>
    </row>
    <row r="55" spans="1:25" ht="12" customHeight="1" x14ac:dyDescent="0.2">
      <c r="A55" s="166">
        <v>45</v>
      </c>
      <c r="B55" s="171" t="s">
        <v>601</v>
      </c>
      <c r="C55" s="172" t="s">
        <v>602</v>
      </c>
      <c r="D55" s="173" t="s">
        <v>497</v>
      </c>
      <c r="E55" s="173" t="s">
        <v>603</v>
      </c>
      <c r="F55" s="173" t="s">
        <v>604</v>
      </c>
      <c r="G55" s="174" t="s">
        <v>605</v>
      </c>
      <c r="H55" s="172" t="s">
        <v>606</v>
      </c>
      <c r="I55" s="174" t="s">
        <v>607</v>
      </c>
      <c r="J55" s="174" t="s">
        <v>608</v>
      </c>
      <c r="K55" s="174" t="s">
        <v>609</v>
      </c>
      <c r="L55" s="174"/>
      <c r="M55" s="173" t="s">
        <v>187</v>
      </c>
      <c r="N55" s="173" t="s">
        <v>188</v>
      </c>
      <c r="O55" s="173" t="s">
        <v>173</v>
      </c>
      <c r="P55" s="171" t="s">
        <v>159</v>
      </c>
      <c r="S55" s="171"/>
      <c r="T55" s="171"/>
      <c r="U55" s="171"/>
      <c r="V55" s="171"/>
      <c r="X55" s="174" t="s">
        <v>203</v>
      </c>
      <c r="Y55" s="174" t="s">
        <v>610</v>
      </c>
    </row>
    <row r="56" spans="1:25" ht="12" customHeight="1" x14ac:dyDescent="0.2">
      <c r="A56" s="166">
        <v>46</v>
      </c>
      <c r="B56" s="171" t="s">
        <v>611</v>
      </c>
      <c r="C56" s="172" t="s">
        <v>612</v>
      </c>
      <c r="D56" s="173" t="s">
        <v>486</v>
      </c>
      <c r="E56" s="173" t="s">
        <v>486</v>
      </c>
      <c r="F56" s="173" t="s">
        <v>613</v>
      </c>
      <c r="G56" s="174" t="s">
        <v>614</v>
      </c>
      <c r="H56" s="172" t="s">
        <v>615</v>
      </c>
      <c r="I56" s="174">
        <v>953263203</v>
      </c>
      <c r="J56" s="174" t="s">
        <v>616</v>
      </c>
      <c r="K56" s="174" t="s">
        <v>617</v>
      </c>
      <c r="L56" s="174"/>
      <c r="M56" s="173" t="s">
        <v>187</v>
      </c>
      <c r="N56" s="173" t="s">
        <v>157</v>
      </c>
      <c r="O56" s="173" t="s">
        <v>173</v>
      </c>
      <c r="P56" s="171" t="s">
        <v>159</v>
      </c>
      <c r="S56" s="171"/>
      <c r="T56" s="171"/>
      <c r="U56" s="171"/>
      <c r="V56" s="171"/>
      <c r="X56" s="174" t="s">
        <v>203</v>
      </c>
      <c r="Y56" s="174" t="s">
        <v>618</v>
      </c>
    </row>
    <row r="57" spans="1:25" ht="12" customHeight="1" x14ac:dyDescent="0.2">
      <c r="A57" s="166">
        <v>47</v>
      </c>
      <c r="B57" s="171" t="s">
        <v>619</v>
      </c>
      <c r="C57" s="172" t="s">
        <v>620</v>
      </c>
      <c r="D57" s="173" t="s">
        <v>167</v>
      </c>
      <c r="E57" s="173" t="s">
        <v>167</v>
      </c>
      <c r="F57" s="173" t="s">
        <v>167</v>
      </c>
      <c r="G57" s="174" t="s">
        <v>621</v>
      </c>
      <c r="H57" s="172" t="s">
        <v>620</v>
      </c>
      <c r="I57" s="174" t="s">
        <v>622</v>
      </c>
      <c r="J57" s="174" t="s">
        <v>623</v>
      </c>
      <c r="K57" s="174" t="s">
        <v>624</v>
      </c>
      <c r="L57" s="174"/>
      <c r="M57" s="173" t="s">
        <v>187</v>
      </c>
      <c r="N57" s="173" t="s">
        <v>188</v>
      </c>
      <c r="O57" s="173" t="s">
        <v>173</v>
      </c>
      <c r="P57" s="171" t="s">
        <v>159</v>
      </c>
      <c r="S57" s="171"/>
      <c r="T57" s="171"/>
      <c r="U57" s="171"/>
      <c r="V57" s="171"/>
      <c r="X57" s="174" t="s">
        <v>625</v>
      </c>
      <c r="Y57" s="174" t="s">
        <v>626</v>
      </c>
    </row>
    <row r="58" spans="1:25" ht="12" customHeight="1" x14ac:dyDescent="0.2">
      <c r="A58" s="166">
        <v>48</v>
      </c>
      <c r="B58" s="171" t="s">
        <v>627</v>
      </c>
      <c r="C58" s="172" t="s">
        <v>628</v>
      </c>
      <c r="D58" s="173" t="s">
        <v>149</v>
      </c>
      <c r="E58" s="173" t="s">
        <v>150</v>
      </c>
      <c r="F58" s="173" t="s">
        <v>151</v>
      </c>
      <c r="G58" s="174" t="s">
        <v>629</v>
      </c>
      <c r="H58" s="172" t="s">
        <v>630</v>
      </c>
      <c r="I58" s="174" t="s">
        <v>631</v>
      </c>
      <c r="J58" s="174" t="s">
        <v>632</v>
      </c>
      <c r="K58" s="174" t="s">
        <v>633</v>
      </c>
      <c r="L58" s="174"/>
      <c r="M58" s="173" t="s">
        <v>187</v>
      </c>
      <c r="N58" s="173" t="s">
        <v>188</v>
      </c>
      <c r="O58" s="173" t="s">
        <v>173</v>
      </c>
      <c r="P58" s="171" t="s">
        <v>159</v>
      </c>
      <c r="S58" s="171" t="s">
        <v>160</v>
      </c>
      <c r="T58" s="171" t="s">
        <v>161</v>
      </c>
      <c r="U58" s="171" t="s">
        <v>634</v>
      </c>
      <c r="V58" s="171" t="s">
        <v>635</v>
      </c>
      <c r="X58" s="174" t="s">
        <v>203</v>
      </c>
      <c r="Y58" s="174" t="s">
        <v>636</v>
      </c>
    </row>
    <row r="59" spans="1:25" ht="12" customHeight="1" x14ac:dyDescent="0.2">
      <c r="A59" s="166">
        <v>49</v>
      </c>
      <c r="B59" s="171" t="s">
        <v>637</v>
      </c>
      <c r="C59" s="172" t="s">
        <v>638</v>
      </c>
      <c r="D59" s="173" t="s">
        <v>167</v>
      </c>
      <c r="E59" s="173" t="s">
        <v>167</v>
      </c>
      <c r="F59" s="173" t="s">
        <v>639</v>
      </c>
      <c r="G59" s="174" t="s">
        <v>640</v>
      </c>
      <c r="H59" s="172" t="s">
        <v>638</v>
      </c>
      <c r="I59" s="174" t="s">
        <v>641</v>
      </c>
      <c r="J59" s="174" t="s">
        <v>642</v>
      </c>
      <c r="K59" s="174" t="s">
        <v>643</v>
      </c>
      <c r="L59" s="174"/>
      <c r="M59" s="173" t="s">
        <v>187</v>
      </c>
      <c r="N59" s="173" t="s">
        <v>188</v>
      </c>
      <c r="O59" s="173" t="s">
        <v>173</v>
      </c>
      <c r="P59" s="171" t="s">
        <v>159</v>
      </c>
      <c r="S59" s="171" t="s">
        <v>160</v>
      </c>
      <c r="T59" s="171" t="s">
        <v>161</v>
      </c>
      <c r="U59" s="171" t="s">
        <v>644</v>
      </c>
      <c r="V59" s="171" t="s">
        <v>645</v>
      </c>
      <c r="X59" s="174" t="s">
        <v>203</v>
      </c>
      <c r="Y59" s="174" t="s">
        <v>646</v>
      </c>
    </row>
    <row r="60" spans="1:25" ht="12" customHeight="1" x14ac:dyDescent="0.2">
      <c r="A60" s="166">
        <v>50</v>
      </c>
      <c r="B60" s="171" t="s">
        <v>637</v>
      </c>
      <c r="C60" s="172" t="s">
        <v>638</v>
      </c>
      <c r="D60" s="173" t="s">
        <v>167</v>
      </c>
      <c r="E60" s="173" t="s">
        <v>167</v>
      </c>
      <c r="F60" s="173" t="s">
        <v>639</v>
      </c>
      <c r="G60" s="174" t="s">
        <v>640</v>
      </c>
      <c r="H60" s="172" t="s">
        <v>638</v>
      </c>
      <c r="I60" s="174" t="s">
        <v>641</v>
      </c>
      <c r="J60" s="174" t="s">
        <v>642</v>
      </c>
      <c r="K60" s="174" t="s">
        <v>643</v>
      </c>
      <c r="L60" s="174"/>
      <c r="M60" s="173" t="s">
        <v>187</v>
      </c>
      <c r="N60" s="173" t="s">
        <v>188</v>
      </c>
      <c r="O60" s="173" t="s">
        <v>173</v>
      </c>
      <c r="P60" s="171" t="s">
        <v>159</v>
      </c>
      <c r="S60" s="171" t="s">
        <v>160</v>
      </c>
      <c r="T60" s="171" t="s">
        <v>161</v>
      </c>
      <c r="U60" s="171" t="s">
        <v>644</v>
      </c>
      <c r="V60" s="171" t="s">
        <v>645</v>
      </c>
      <c r="X60" s="174" t="s">
        <v>203</v>
      </c>
      <c r="Y60" s="174" t="s">
        <v>646</v>
      </c>
    </row>
    <row r="61" spans="1:25" ht="12" customHeight="1" x14ac:dyDescent="0.2">
      <c r="A61" s="166">
        <v>51</v>
      </c>
      <c r="B61" s="171" t="s">
        <v>647</v>
      </c>
      <c r="C61" s="172" t="s">
        <v>648</v>
      </c>
      <c r="D61" s="173" t="s">
        <v>167</v>
      </c>
      <c r="E61" s="173" t="s">
        <v>167</v>
      </c>
      <c r="F61" s="173" t="s">
        <v>406</v>
      </c>
      <c r="G61" s="174" t="s">
        <v>649</v>
      </c>
      <c r="H61" s="172" t="s">
        <v>650</v>
      </c>
      <c r="I61" s="174" t="s">
        <v>651</v>
      </c>
      <c r="J61" s="174" t="s">
        <v>652</v>
      </c>
      <c r="K61" s="174" t="s">
        <v>653</v>
      </c>
      <c r="L61" s="174"/>
      <c r="M61" s="173" t="s">
        <v>187</v>
      </c>
      <c r="N61" s="173" t="s">
        <v>188</v>
      </c>
      <c r="O61" s="173" t="s">
        <v>173</v>
      </c>
      <c r="P61" s="171" t="s">
        <v>159</v>
      </c>
      <c r="S61" s="171" t="s">
        <v>160</v>
      </c>
      <c r="T61" s="171" t="s">
        <v>161</v>
      </c>
      <c r="U61" s="171" t="s">
        <v>654</v>
      </c>
      <c r="V61" s="171" t="s">
        <v>655</v>
      </c>
      <c r="X61" s="174" t="s">
        <v>203</v>
      </c>
      <c r="Y61" s="174" t="s">
        <v>656</v>
      </c>
    </row>
    <row r="62" spans="1:25" ht="12" customHeight="1" x14ac:dyDescent="0.2">
      <c r="A62" s="166">
        <v>52</v>
      </c>
      <c r="B62" s="167" t="s">
        <v>657</v>
      </c>
      <c r="C62" s="168" t="s">
        <v>658</v>
      </c>
      <c r="D62" s="169" t="s">
        <v>372</v>
      </c>
      <c r="E62" s="169" t="s">
        <v>659</v>
      </c>
      <c r="F62" s="169" t="s">
        <v>659</v>
      </c>
      <c r="G62" s="170" t="s">
        <v>660</v>
      </c>
      <c r="H62" s="168" t="s">
        <v>658</v>
      </c>
      <c r="I62" s="170" t="s">
        <v>661</v>
      </c>
      <c r="J62" s="170" t="s">
        <v>662</v>
      </c>
      <c r="K62" s="170" t="s">
        <v>663</v>
      </c>
      <c r="L62" s="170"/>
      <c r="M62" s="169" t="s">
        <v>156</v>
      </c>
      <c r="N62" s="169" t="s">
        <v>157</v>
      </c>
      <c r="O62" s="169" t="s">
        <v>158</v>
      </c>
      <c r="P62" s="167" t="s">
        <v>159</v>
      </c>
      <c r="S62" s="167"/>
      <c r="T62" s="167"/>
      <c r="U62" s="167"/>
      <c r="V62" s="167"/>
      <c r="X62" s="170" t="s">
        <v>203</v>
      </c>
      <c r="Y62" s="170" t="s">
        <v>664</v>
      </c>
    </row>
    <row r="63" spans="1:25" ht="12" customHeight="1" x14ac:dyDescent="0.2">
      <c r="A63" s="166">
        <v>53</v>
      </c>
      <c r="B63" s="171" t="s">
        <v>665</v>
      </c>
      <c r="C63" s="172" t="s">
        <v>666</v>
      </c>
      <c r="D63" s="173" t="s">
        <v>167</v>
      </c>
      <c r="E63" s="173" t="s">
        <v>167</v>
      </c>
      <c r="F63" s="173" t="s">
        <v>667</v>
      </c>
      <c r="G63" s="174" t="s">
        <v>668</v>
      </c>
      <c r="H63" s="172" t="s">
        <v>666</v>
      </c>
      <c r="I63" s="174" t="s">
        <v>669</v>
      </c>
      <c r="J63" s="174" t="s">
        <v>670</v>
      </c>
      <c r="K63" s="174" t="s">
        <v>671</v>
      </c>
      <c r="L63" s="174"/>
      <c r="M63" s="173" t="s">
        <v>187</v>
      </c>
      <c r="N63" s="173" t="s">
        <v>157</v>
      </c>
      <c r="O63" s="173" t="s">
        <v>173</v>
      </c>
      <c r="P63" s="171" t="s">
        <v>159</v>
      </c>
      <c r="S63" s="171" t="s">
        <v>160</v>
      </c>
      <c r="T63" s="171" t="s">
        <v>161</v>
      </c>
      <c r="U63" s="171" t="s">
        <v>672</v>
      </c>
      <c r="V63" s="171" t="s">
        <v>673</v>
      </c>
      <c r="X63" s="174" t="s">
        <v>674</v>
      </c>
      <c r="Y63" s="174" t="s">
        <v>675</v>
      </c>
    </row>
    <row r="64" spans="1:25" ht="12" customHeight="1" x14ac:dyDescent="0.2">
      <c r="A64" s="166">
        <v>54</v>
      </c>
      <c r="B64" s="171" t="s">
        <v>676</v>
      </c>
      <c r="C64" s="172" t="s">
        <v>677</v>
      </c>
      <c r="D64" s="173" t="s">
        <v>678</v>
      </c>
      <c r="E64" s="173" t="s">
        <v>678</v>
      </c>
      <c r="F64" s="173" t="s">
        <v>679</v>
      </c>
      <c r="G64" s="174" t="s">
        <v>680</v>
      </c>
      <c r="H64" s="172" t="s">
        <v>677</v>
      </c>
      <c r="I64" s="174" t="s">
        <v>681</v>
      </c>
      <c r="J64" s="174" t="s">
        <v>682</v>
      </c>
      <c r="K64" s="174" t="s">
        <v>683</v>
      </c>
      <c r="L64" s="174"/>
      <c r="M64" s="173" t="s">
        <v>156</v>
      </c>
      <c r="N64" s="173" t="s">
        <v>157</v>
      </c>
      <c r="O64" s="173" t="s">
        <v>173</v>
      </c>
      <c r="P64" s="171" t="s">
        <v>159</v>
      </c>
      <c r="S64" s="171" t="s">
        <v>160</v>
      </c>
      <c r="T64" s="171" t="s">
        <v>161</v>
      </c>
      <c r="U64" s="171" t="s">
        <v>684</v>
      </c>
      <c r="V64" s="171" t="s">
        <v>685</v>
      </c>
      <c r="X64" s="174" t="s">
        <v>203</v>
      </c>
      <c r="Y64" s="174" t="s">
        <v>686</v>
      </c>
    </row>
    <row r="65" spans="1:25" ht="12" customHeight="1" x14ac:dyDescent="0.2">
      <c r="A65" s="166">
        <v>55</v>
      </c>
      <c r="B65" s="171" t="s">
        <v>687</v>
      </c>
      <c r="C65" s="172" t="s">
        <v>688</v>
      </c>
      <c r="D65" s="173" t="s">
        <v>194</v>
      </c>
      <c r="E65" s="173" t="s">
        <v>196</v>
      </c>
      <c r="F65" s="173" t="s">
        <v>195</v>
      </c>
      <c r="G65" s="174" t="s">
        <v>689</v>
      </c>
      <c r="H65" s="172" t="s">
        <v>690</v>
      </c>
      <c r="I65" s="174" t="s">
        <v>691</v>
      </c>
      <c r="J65" s="174" t="s">
        <v>692</v>
      </c>
      <c r="K65" s="174" t="s">
        <v>693</v>
      </c>
      <c r="L65" s="174"/>
      <c r="M65" s="173" t="s">
        <v>156</v>
      </c>
      <c r="N65" s="173" t="s">
        <v>201</v>
      </c>
      <c r="O65" s="173" t="s">
        <v>173</v>
      </c>
      <c r="P65" s="171" t="s">
        <v>159</v>
      </c>
      <c r="S65" s="171" t="s">
        <v>160</v>
      </c>
      <c r="T65" s="171" t="s">
        <v>161</v>
      </c>
      <c r="U65" s="171" t="s">
        <v>694</v>
      </c>
      <c r="V65" s="171" t="s">
        <v>695</v>
      </c>
      <c r="X65" s="174" t="s">
        <v>203</v>
      </c>
      <c r="Y65" s="174" t="s">
        <v>696</v>
      </c>
    </row>
    <row r="66" spans="1:25" ht="12" customHeight="1" x14ac:dyDescent="0.2">
      <c r="A66" s="166">
        <v>56</v>
      </c>
      <c r="B66" s="171" t="s">
        <v>697</v>
      </c>
      <c r="C66" s="172" t="s">
        <v>698</v>
      </c>
      <c r="D66" s="173" t="s">
        <v>167</v>
      </c>
      <c r="E66" s="173" t="s">
        <v>167</v>
      </c>
      <c r="F66" s="173" t="s">
        <v>275</v>
      </c>
      <c r="G66" s="174" t="s">
        <v>699</v>
      </c>
      <c r="H66" s="172" t="s">
        <v>700</v>
      </c>
      <c r="I66" s="174" t="s">
        <v>701</v>
      </c>
      <c r="J66" s="174" t="s">
        <v>702</v>
      </c>
      <c r="K66" s="174" t="s">
        <v>703</v>
      </c>
      <c r="L66" s="174"/>
      <c r="M66" s="173" t="s">
        <v>187</v>
      </c>
      <c r="N66" s="173" t="s">
        <v>157</v>
      </c>
      <c r="O66" s="173" t="s">
        <v>173</v>
      </c>
      <c r="P66" s="171" t="s">
        <v>159</v>
      </c>
      <c r="S66" s="171" t="s">
        <v>160</v>
      </c>
      <c r="T66" s="171" t="s">
        <v>704</v>
      </c>
      <c r="U66" s="171" t="s">
        <v>705</v>
      </c>
      <c r="V66" s="171" t="s">
        <v>706</v>
      </c>
      <c r="X66" s="174" t="s">
        <v>203</v>
      </c>
      <c r="Y66" s="174" t="s">
        <v>707</v>
      </c>
    </row>
    <row r="67" spans="1:25" s="197" customFormat="1" ht="12" customHeight="1" x14ac:dyDescent="0.2">
      <c r="A67" s="198">
        <v>57</v>
      </c>
      <c r="B67" s="199" t="s">
        <v>708</v>
      </c>
      <c r="C67" s="200" t="s">
        <v>709</v>
      </c>
      <c r="D67" s="201" t="s">
        <v>167</v>
      </c>
      <c r="E67" s="201" t="s">
        <v>710</v>
      </c>
      <c r="F67" s="201" t="s">
        <v>711</v>
      </c>
      <c r="G67" s="202" t="s">
        <v>712</v>
      </c>
      <c r="H67" s="200" t="s">
        <v>709</v>
      </c>
      <c r="I67" s="202">
        <v>959346000</v>
      </c>
      <c r="J67" s="202" t="s">
        <v>713</v>
      </c>
      <c r="K67" s="202" t="s">
        <v>714</v>
      </c>
      <c r="L67" s="202"/>
      <c r="M67" s="201" t="s">
        <v>156</v>
      </c>
      <c r="N67" s="201" t="s">
        <v>157</v>
      </c>
      <c r="O67" s="201" t="s">
        <v>173</v>
      </c>
      <c r="P67" s="199" t="s">
        <v>159</v>
      </c>
      <c r="S67" s="199" t="s">
        <v>160</v>
      </c>
      <c r="T67" s="199" t="s">
        <v>161</v>
      </c>
      <c r="U67" s="199" t="s">
        <v>715</v>
      </c>
      <c r="V67" s="199" t="s">
        <v>716</v>
      </c>
      <c r="X67" s="202" t="s">
        <v>717</v>
      </c>
      <c r="Y67" s="202" t="s">
        <v>718</v>
      </c>
    </row>
    <row r="68" spans="1:25" ht="12" customHeight="1" x14ac:dyDescent="0.2">
      <c r="A68" s="166">
        <v>58</v>
      </c>
      <c r="B68" s="171" t="s">
        <v>719</v>
      </c>
      <c r="C68" s="172" t="s">
        <v>720</v>
      </c>
      <c r="D68" s="173" t="s">
        <v>206</v>
      </c>
      <c r="E68" s="173" t="s">
        <v>721</v>
      </c>
      <c r="F68" s="173" t="s">
        <v>722</v>
      </c>
      <c r="G68" s="174" t="s">
        <v>723</v>
      </c>
      <c r="H68" s="172" t="s">
        <v>724</v>
      </c>
      <c r="I68" s="174" t="s">
        <v>691</v>
      </c>
      <c r="J68" s="174" t="s">
        <v>692</v>
      </c>
      <c r="K68" s="174" t="s">
        <v>725</v>
      </c>
      <c r="L68" s="174"/>
      <c r="M68" s="173" t="s">
        <v>156</v>
      </c>
      <c r="N68" s="173" t="s">
        <v>188</v>
      </c>
      <c r="O68" s="173" t="s">
        <v>173</v>
      </c>
      <c r="P68" s="171" t="s">
        <v>159</v>
      </c>
      <c r="S68" s="171" t="s">
        <v>160</v>
      </c>
      <c r="T68" s="171" t="s">
        <v>161</v>
      </c>
      <c r="U68" s="171" t="s">
        <v>726</v>
      </c>
      <c r="V68" s="171" t="s">
        <v>727</v>
      </c>
      <c r="X68" s="174" t="s">
        <v>203</v>
      </c>
      <c r="Y68" s="174" t="s">
        <v>728</v>
      </c>
    </row>
    <row r="69" spans="1:25" ht="12" customHeight="1" x14ac:dyDescent="0.2">
      <c r="A69" s="166">
        <v>59</v>
      </c>
      <c r="B69" s="171" t="s">
        <v>729</v>
      </c>
      <c r="C69" s="172" t="s">
        <v>730</v>
      </c>
      <c r="D69" s="173" t="s">
        <v>731</v>
      </c>
      <c r="E69" s="173" t="s">
        <v>732</v>
      </c>
      <c r="F69" s="173" t="s">
        <v>733</v>
      </c>
      <c r="G69" s="174" t="s">
        <v>734</v>
      </c>
      <c r="H69" s="172" t="s">
        <v>735</v>
      </c>
      <c r="I69" s="174" t="s">
        <v>736</v>
      </c>
      <c r="J69" s="174" t="s">
        <v>737</v>
      </c>
      <c r="K69" s="174" t="s">
        <v>738</v>
      </c>
      <c r="L69" s="174"/>
      <c r="M69" s="173" t="s">
        <v>156</v>
      </c>
      <c r="N69" s="173" t="s">
        <v>157</v>
      </c>
      <c r="O69" s="173" t="s">
        <v>173</v>
      </c>
      <c r="P69" s="171" t="s">
        <v>159</v>
      </c>
      <c r="S69" s="171"/>
      <c r="T69" s="171"/>
      <c r="U69" s="171"/>
      <c r="V69" s="171"/>
      <c r="X69" s="174" t="s">
        <v>203</v>
      </c>
      <c r="Y69" s="174" t="s">
        <v>739</v>
      </c>
    </row>
    <row r="70" spans="1:25" ht="12" customHeight="1" x14ac:dyDescent="0.2">
      <c r="A70" s="166">
        <v>60</v>
      </c>
      <c r="B70" s="167" t="s">
        <v>740</v>
      </c>
      <c r="C70" s="168" t="s">
        <v>741</v>
      </c>
      <c r="D70" s="169" t="s">
        <v>228</v>
      </c>
      <c r="E70" s="169" t="s">
        <v>229</v>
      </c>
      <c r="F70" s="169" t="s">
        <v>742</v>
      </c>
      <c r="G70" s="170" t="s">
        <v>743</v>
      </c>
      <c r="H70" s="168" t="s">
        <v>744</v>
      </c>
      <c r="I70" s="170">
        <v>948519082</v>
      </c>
      <c r="J70" s="170" t="s">
        <v>745</v>
      </c>
      <c r="K70" s="170" t="s">
        <v>746</v>
      </c>
      <c r="L70" s="170"/>
      <c r="M70" s="169" t="s">
        <v>187</v>
      </c>
      <c r="N70" s="169" t="s">
        <v>157</v>
      </c>
      <c r="O70" s="169" t="s">
        <v>158</v>
      </c>
      <c r="P70" s="167" t="s">
        <v>159</v>
      </c>
      <c r="S70" s="167" t="s">
        <v>160</v>
      </c>
      <c r="T70" s="167" t="s">
        <v>704</v>
      </c>
      <c r="U70" s="167" t="s">
        <v>747</v>
      </c>
      <c r="V70" s="203"/>
      <c r="X70" s="170" t="s">
        <v>203</v>
      </c>
      <c r="Y70" s="170" t="s">
        <v>748</v>
      </c>
    </row>
    <row r="71" spans="1:25" ht="12" customHeight="1" x14ac:dyDescent="0.25">
      <c r="A71" s="166">
        <v>61</v>
      </c>
      <c r="B71" s="171" t="s">
        <v>749</v>
      </c>
      <c r="C71" s="172" t="s">
        <v>750</v>
      </c>
      <c r="D71" s="173" t="s">
        <v>206</v>
      </c>
      <c r="E71" s="173" t="s">
        <v>206</v>
      </c>
      <c r="F71" s="173" t="s">
        <v>206</v>
      </c>
      <c r="G71" s="174" t="s">
        <v>751</v>
      </c>
      <c r="H71" s="172" t="s">
        <v>752</v>
      </c>
      <c r="I71" s="174" t="s">
        <v>753</v>
      </c>
      <c r="J71" s="174" t="s">
        <v>754</v>
      </c>
      <c r="K71" s="174" t="s">
        <v>755</v>
      </c>
      <c r="L71" s="174"/>
      <c r="M71" s="173" t="s">
        <v>156</v>
      </c>
      <c r="N71" s="173" t="s">
        <v>188</v>
      </c>
      <c r="O71" s="173" t="s">
        <v>173</v>
      </c>
      <c r="P71" s="171" t="s">
        <v>159</v>
      </c>
      <c r="S71" s="171" t="s">
        <v>160</v>
      </c>
      <c r="T71" s="171" t="s">
        <v>161</v>
      </c>
      <c r="U71" s="204" t="s">
        <v>756</v>
      </c>
      <c r="V71" s="205" t="s">
        <v>757</v>
      </c>
      <c r="X71" s="174" t="s">
        <v>758</v>
      </c>
      <c r="Y71" s="174" t="s">
        <v>759</v>
      </c>
    </row>
    <row r="72" spans="1:25" ht="12" customHeight="1" x14ac:dyDescent="0.2">
      <c r="A72" s="166">
        <v>62</v>
      </c>
      <c r="B72" s="171" t="s">
        <v>760</v>
      </c>
      <c r="C72" s="172" t="s">
        <v>761</v>
      </c>
      <c r="D72" s="173" t="s">
        <v>206</v>
      </c>
      <c r="E72" s="173" t="s">
        <v>206</v>
      </c>
      <c r="F72" s="173" t="s">
        <v>762</v>
      </c>
      <c r="G72" s="174" t="s">
        <v>763</v>
      </c>
      <c r="H72" s="172" t="s">
        <v>761</v>
      </c>
      <c r="I72" s="174">
        <v>975659316</v>
      </c>
      <c r="J72" s="174" t="s">
        <v>764</v>
      </c>
      <c r="K72" s="174" t="s">
        <v>765</v>
      </c>
      <c r="L72" s="174"/>
      <c r="M72" s="173" t="s">
        <v>156</v>
      </c>
      <c r="N72" s="173" t="s">
        <v>188</v>
      </c>
      <c r="O72" s="173" t="s">
        <v>173</v>
      </c>
      <c r="P72" s="171" t="s">
        <v>159</v>
      </c>
      <c r="S72" s="171" t="s">
        <v>160</v>
      </c>
      <c r="T72" s="171" t="s">
        <v>704</v>
      </c>
      <c r="U72" s="171" t="s">
        <v>766</v>
      </c>
      <c r="V72" s="206" t="s">
        <v>767</v>
      </c>
      <c r="X72" s="174" t="s">
        <v>768</v>
      </c>
      <c r="Y72" s="174" t="s">
        <v>769</v>
      </c>
    </row>
    <row r="73" spans="1:25" ht="12" customHeight="1" x14ac:dyDescent="0.2">
      <c r="A73" s="166">
        <v>63</v>
      </c>
      <c r="B73" s="171" t="s">
        <v>770</v>
      </c>
      <c r="C73" s="172" t="s">
        <v>771</v>
      </c>
      <c r="D73" s="173" t="s">
        <v>772</v>
      </c>
      <c r="E73" s="173" t="s">
        <v>773</v>
      </c>
      <c r="F73" s="173" t="s">
        <v>774</v>
      </c>
      <c r="G73" s="174" t="s">
        <v>775</v>
      </c>
      <c r="H73" s="172" t="s">
        <v>776</v>
      </c>
      <c r="I73" s="174">
        <v>948442678</v>
      </c>
      <c r="J73" s="174" t="s">
        <v>777</v>
      </c>
      <c r="K73" s="174" t="s">
        <v>778</v>
      </c>
      <c r="L73" s="174"/>
      <c r="M73" s="173" t="s">
        <v>187</v>
      </c>
      <c r="N73" s="173" t="s">
        <v>157</v>
      </c>
      <c r="O73" s="173" t="s">
        <v>173</v>
      </c>
      <c r="P73" s="171" t="s">
        <v>159</v>
      </c>
      <c r="S73" s="171"/>
      <c r="T73" s="171"/>
      <c r="U73" s="171"/>
      <c r="V73" s="171"/>
      <c r="X73" s="174" t="s">
        <v>779</v>
      </c>
      <c r="Y73" s="174" t="s">
        <v>780</v>
      </c>
    </row>
    <row r="74" spans="1:25" ht="12" customHeight="1" x14ac:dyDescent="0.2">
      <c r="A74" s="166">
        <v>64</v>
      </c>
      <c r="B74" s="171" t="s">
        <v>781</v>
      </c>
      <c r="C74" s="172" t="s">
        <v>782</v>
      </c>
      <c r="D74" s="173" t="s">
        <v>783</v>
      </c>
      <c r="E74" s="173" t="s">
        <v>783</v>
      </c>
      <c r="F74" s="173" t="s">
        <v>783</v>
      </c>
      <c r="G74" s="174" t="s">
        <v>784</v>
      </c>
      <c r="H74" s="172" t="s">
        <v>785</v>
      </c>
      <c r="I74" s="174">
        <v>952880010</v>
      </c>
      <c r="J74" s="174" t="s">
        <v>786</v>
      </c>
      <c r="K74" s="174" t="s">
        <v>787</v>
      </c>
      <c r="L74" s="174"/>
      <c r="M74" s="173" t="s">
        <v>156</v>
      </c>
      <c r="N74" s="173" t="s">
        <v>157</v>
      </c>
      <c r="O74" s="173" t="s">
        <v>173</v>
      </c>
      <c r="P74" s="171" t="s">
        <v>159</v>
      </c>
      <c r="S74" s="171" t="s">
        <v>160</v>
      </c>
      <c r="T74" s="171" t="s">
        <v>161</v>
      </c>
      <c r="U74" s="171" t="s">
        <v>788</v>
      </c>
      <c r="V74" s="171" t="s">
        <v>789</v>
      </c>
      <c r="X74" s="174" t="s">
        <v>790</v>
      </c>
      <c r="Y74" s="174" t="s">
        <v>791</v>
      </c>
    </row>
    <row r="75" spans="1:25" ht="12" customHeight="1" x14ac:dyDescent="0.2">
      <c r="A75" s="166">
        <v>65</v>
      </c>
      <c r="B75" s="171" t="s">
        <v>792</v>
      </c>
      <c r="C75" s="172" t="s">
        <v>793</v>
      </c>
      <c r="D75" s="173" t="s">
        <v>167</v>
      </c>
      <c r="E75" s="173" t="s">
        <v>167</v>
      </c>
      <c r="F75" s="173" t="s">
        <v>794</v>
      </c>
      <c r="G75" s="174" t="s">
        <v>795</v>
      </c>
      <c r="H75" s="172" t="s">
        <v>796</v>
      </c>
      <c r="I75" s="174">
        <v>947916545</v>
      </c>
      <c r="J75" s="174" t="s">
        <v>797</v>
      </c>
      <c r="K75" s="174" t="s">
        <v>798</v>
      </c>
      <c r="L75" s="174"/>
      <c r="M75" s="173" t="s">
        <v>187</v>
      </c>
      <c r="N75" s="173" t="s">
        <v>157</v>
      </c>
      <c r="O75" s="173" t="s">
        <v>173</v>
      </c>
      <c r="P75" s="171" t="s">
        <v>159</v>
      </c>
      <c r="S75" s="171" t="s">
        <v>160</v>
      </c>
      <c r="T75" s="171" t="s">
        <v>161</v>
      </c>
      <c r="U75" s="171" t="s">
        <v>799</v>
      </c>
      <c r="V75" s="171" t="s">
        <v>800</v>
      </c>
      <c r="X75" s="174" t="s">
        <v>801</v>
      </c>
      <c r="Y75" s="174" t="s">
        <v>802</v>
      </c>
    </row>
    <row r="76" spans="1:25" ht="12" customHeight="1" x14ac:dyDescent="0.2">
      <c r="A76" s="166">
        <v>66</v>
      </c>
      <c r="B76" s="171" t="s">
        <v>803</v>
      </c>
      <c r="C76" s="172" t="s">
        <v>804</v>
      </c>
      <c r="D76" s="173" t="s">
        <v>497</v>
      </c>
      <c r="E76" s="173" t="s">
        <v>497</v>
      </c>
      <c r="F76" s="173" t="s">
        <v>499</v>
      </c>
      <c r="G76" s="174" t="s">
        <v>805</v>
      </c>
      <c r="H76" s="172" t="s">
        <v>806</v>
      </c>
      <c r="I76" s="174" t="s">
        <v>807</v>
      </c>
      <c r="J76" s="174" t="s">
        <v>808</v>
      </c>
      <c r="K76" s="174" t="s">
        <v>809</v>
      </c>
      <c r="L76" s="174"/>
      <c r="M76" s="173" t="s">
        <v>187</v>
      </c>
      <c r="N76" s="173" t="s">
        <v>157</v>
      </c>
      <c r="O76" s="173" t="s">
        <v>173</v>
      </c>
      <c r="P76" s="171" t="s">
        <v>159</v>
      </c>
      <c r="S76" s="171" t="s">
        <v>160</v>
      </c>
      <c r="T76" s="171" t="s">
        <v>574</v>
      </c>
      <c r="U76" s="171" t="s">
        <v>810</v>
      </c>
      <c r="V76" s="171" t="s">
        <v>811</v>
      </c>
      <c r="X76" s="174" t="s">
        <v>812</v>
      </c>
      <c r="Y76" s="174" t="s">
        <v>813</v>
      </c>
    </row>
    <row r="77" spans="1:25" ht="12" customHeight="1" x14ac:dyDescent="0.2">
      <c r="A77" s="166">
        <v>67</v>
      </c>
      <c r="B77" s="171" t="s">
        <v>814</v>
      </c>
      <c r="C77" s="172" t="s">
        <v>815</v>
      </c>
      <c r="D77" s="173" t="s">
        <v>242</v>
      </c>
      <c r="E77" s="173" t="s">
        <v>816</v>
      </c>
      <c r="F77" s="173" t="s">
        <v>816</v>
      </c>
      <c r="G77" s="174" t="s">
        <v>817</v>
      </c>
      <c r="H77" s="172" t="s">
        <v>818</v>
      </c>
      <c r="I77" s="174" t="s">
        <v>819</v>
      </c>
      <c r="J77" s="174" t="s">
        <v>820</v>
      </c>
      <c r="K77" s="174" t="s">
        <v>821</v>
      </c>
      <c r="L77" s="174"/>
      <c r="M77" s="173" t="s">
        <v>156</v>
      </c>
      <c r="N77" s="173" t="s">
        <v>201</v>
      </c>
      <c r="O77" s="173" t="s">
        <v>173</v>
      </c>
      <c r="P77" s="171" t="s">
        <v>159</v>
      </c>
      <c r="S77" s="171" t="s">
        <v>160</v>
      </c>
      <c r="T77" s="171" t="s">
        <v>704</v>
      </c>
      <c r="U77" s="171" t="s">
        <v>822</v>
      </c>
      <c r="V77" s="171" t="s">
        <v>823</v>
      </c>
      <c r="X77" s="174" t="s">
        <v>203</v>
      </c>
      <c r="Y77" s="174" t="s">
        <v>824</v>
      </c>
    </row>
    <row r="78" spans="1:25" ht="12" customHeight="1" x14ac:dyDescent="0.25">
      <c r="A78" s="166">
        <v>68</v>
      </c>
      <c r="B78" s="171" t="s">
        <v>825</v>
      </c>
      <c r="C78" s="172" t="s">
        <v>826</v>
      </c>
      <c r="D78" s="173" t="s">
        <v>167</v>
      </c>
      <c r="E78" s="173" t="s">
        <v>167</v>
      </c>
      <c r="F78" s="173" t="s">
        <v>827</v>
      </c>
      <c r="G78" s="174" t="s">
        <v>828</v>
      </c>
      <c r="H78" s="172" t="s">
        <v>829</v>
      </c>
      <c r="I78" s="174">
        <v>947991766</v>
      </c>
      <c r="J78" s="174" t="s">
        <v>830</v>
      </c>
      <c r="K78" s="174" t="s">
        <v>831</v>
      </c>
      <c r="L78" s="174"/>
      <c r="M78" s="173" t="s">
        <v>156</v>
      </c>
      <c r="N78" s="173" t="s">
        <v>157</v>
      </c>
      <c r="O78" s="173" t="s">
        <v>173</v>
      </c>
      <c r="P78" s="171" t="s">
        <v>159</v>
      </c>
      <c r="S78" s="171" t="s">
        <v>160</v>
      </c>
      <c r="T78" s="171" t="s">
        <v>161</v>
      </c>
      <c r="U78" s="204" t="s">
        <v>832</v>
      </c>
      <c r="V78" s="171"/>
      <c r="X78" s="174" t="s">
        <v>203</v>
      </c>
      <c r="Y78" s="174" t="s">
        <v>833</v>
      </c>
    </row>
    <row r="79" spans="1:25" ht="12" customHeight="1" x14ac:dyDescent="0.2">
      <c r="A79" s="166">
        <v>69</v>
      </c>
      <c r="B79" s="171" t="s">
        <v>834</v>
      </c>
      <c r="C79" s="172" t="s">
        <v>835</v>
      </c>
      <c r="D79" s="173" t="s">
        <v>372</v>
      </c>
      <c r="E79" s="173" t="s">
        <v>372</v>
      </c>
      <c r="F79" s="173" t="s">
        <v>372</v>
      </c>
      <c r="G79" s="174" t="s">
        <v>836</v>
      </c>
      <c r="H79" s="172" t="s">
        <v>835</v>
      </c>
      <c r="I79" s="174">
        <v>946241033</v>
      </c>
      <c r="J79" s="174" t="s">
        <v>837</v>
      </c>
      <c r="K79" s="174" t="s">
        <v>838</v>
      </c>
      <c r="L79" s="174"/>
      <c r="M79" s="173" t="s">
        <v>156</v>
      </c>
      <c r="N79" s="173" t="s">
        <v>188</v>
      </c>
      <c r="O79" s="173" t="s">
        <v>173</v>
      </c>
      <c r="P79" s="171" t="s">
        <v>159</v>
      </c>
      <c r="S79" s="171" t="s">
        <v>160</v>
      </c>
      <c r="T79" s="171" t="s">
        <v>161</v>
      </c>
      <c r="U79" s="171" t="s">
        <v>839</v>
      </c>
      <c r="V79" s="171" t="s">
        <v>840</v>
      </c>
    </row>
    <row r="80" spans="1:25" ht="12" customHeight="1" x14ac:dyDescent="0.2">
      <c r="A80" s="166">
        <v>70</v>
      </c>
      <c r="B80" s="171" t="s">
        <v>841</v>
      </c>
      <c r="C80" s="172" t="s">
        <v>842</v>
      </c>
      <c r="D80" s="173" t="s">
        <v>167</v>
      </c>
      <c r="E80" s="173" t="s">
        <v>167</v>
      </c>
      <c r="F80" s="173" t="s">
        <v>538</v>
      </c>
      <c r="G80" s="174" t="s">
        <v>843</v>
      </c>
      <c r="H80" s="172" t="s">
        <v>842</v>
      </c>
      <c r="I80" s="174">
        <v>929893395</v>
      </c>
      <c r="J80" s="174" t="s">
        <v>844</v>
      </c>
      <c r="K80" s="174" t="s">
        <v>845</v>
      </c>
      <c r="L80" s="174"/>
      <c r="M80" s="173" t="s">
        <v>156</v>
      </c>
      <c r="N80" s="173" t="s">
        <v>188</v>
      </c>
      <c r="O80" s="173" t="s">
        <v>173</v>
      </c>
      <c r="P80" s="171" t="s">
        <v>159</v>
      </c>
      <c r="S80" s="171" t="s">
        <v>160</v>
      </c>
      <c r="T80" s="171" t="s">
        <v>161</v>
      </c>
      <c r="U80" s="171" t="s">
        <v>846</v>
      </c>
      <c r="V80" s="171"/>
    </row>
    <row r="81" spans="1:25" ht="12" customHeight="1" x14ac:dyDescent="0.2">
      <c r="A81" s="166">
        <v>71</v>
      </c>
      <c r="B81" s="171" t="s">
        <v>847</v>
      </c>
      <c r="C81" s="172" t="s">
        <v>848</v>
      </c>
      <c r="D81" s="173" t="s">
        <v>772</v>
      </c>
      <c r="E81" s="173" t="s">
        <v>849</v>
      </c>
      <c r="F81" s="173" t="s">
        <v>849</v>
      </c>
      <c r="G81" s="174" t="s">
        <v>850</v>
      </c>
      <c r="H81" s="172" t="s">
        <v>848</v>
      </c>
      <c r="I81" s="174">
        <v>936067412</v>
      </c>
      <c r="J81" s="174" t="s">
        <v>851</v>
      </c>
      <c r="K81" s="174" t="s">
        <v>852</v>
      </c>
      <c r="L81" s="174"/>
      <c r="M81" s="173" t="s">
        <v>156</v>
      </c>
      <c r="N81" s="173" t="s">
        <v>157</v>
      </c>
      <c r="O81" s="173" t="s">
        <v>173</v>
      </c>
      <c r="P81" s="171" t="s">
        <v>159</v>
      </c>
      <c r="S81" s="171" t="s">
        <v>160</v>
      </c>
      <c r="T81" s="171" t="s">
        <v>161</v>
      </c>
      <c r="U81" s="171" t="s">
        <v>853</v>
      </c>
      <c r="V81" s="171" t="s">
        <v>854</v>
      </c>
    </row>
    <row r="82" spans="1:25" ht="12" customHeight="1" x14ac:dyDescent="0.2">
      <c r="A82" s="166">
        <v>72</v>
      </c>
      <c r="B82" s="207" t="s">
        <v>392</v>
      </c>
      <c r="C82" s="172" t="s">
        <v>393</v>
      </c>
      <c r="D82" s="173" t="s">
        <v>394</v>
      </c>
      <c r="E82" s="173" t="s">
        <v>395</v>
      </c>
      <c r="F82" s="173" t="s">
        <v>396</v>
      </c>
      <c r="G82" s="174" t="s">
        <v>397</v>
      </c>
      <c r="H82" s="172" t="s">
        <v>393</v>
      </c>
      <c r="I82" s="174" t="s">
        <v>398</v>
      </c>
      <c r="J82" s="174" t="s">
        <v>399</v>
      </c>
      <c r="K82" s="174" t="s">
        <v>400</v>
      </c>
      <c r="L82" s="208"/>
      <c r="M82" s="209" t="s">
        <v>156</v>
      </c>
      <c r="O82" s="173" t="s">
        <v>173</v>
      </c>
      <c r="P82" s="207" t="s">
        <v>159</v>
      </c>
      <c r="Q82" s="209"/>
      <c r="S82" s="207" t="s">
        <v>160</v>
      </c>
      <c r="T82" s="207" t="s">
        <v>161</v>
      </c>
      <c r="U82" s="207" t="s">
        <v>401</v>
      </c>
      <c r="V82" s="207" t="s">
        <v>402</v>
      </c>
    </row>
    <row r="83" spans="1:25" ht="12" customHeight="1" x14ac:dyDescent="0.2">
      <c r="A83" s="166">
        <v>73</v>
      </c>
      <c r="B83" s="210" t="s">
        <v>665</v>
      </c>
      <c r="C83" s="172" t="s">
        <v>666</v>
      </c>
      <c r="D83" s="173" t="s">
        <v>167</v>
      </c>
      <c r="E83" s="173" t="s">
        <v>167</v>
      </c>
      <c r="F83" s="173" t="s">
        <v>667</v>
      </c>
      <c r="G83" s="174" t="s">
        <v>668</v>
      </c>
      <c r="H83" s="172" t="s">
        <v>666</v>
      </c>
      <c r="I83" s="174" t="s">
        <v>669</v>
      </c>
      <c r="J83" s="174" t="s">
        <v>670</v>
      </c>
      <c r="K83" s="174" t="s">
        <v>671</v>
      </c>
      <c r="L83" s="210"/>
      <c r="M83" s="173" t="s">
        <v>187</v>
      </c>
      <c r="O83" s="173" t="s">
        <v>173</v>
      </c>
      <c r="P83" s="210" t="s">
        <v>159</v>
      </c>
      <c r="Q83" s="211"/>
      <c r="S83" s="171" t="s">
        <v>160</v>
      </c>
      <c r="T83" s="171" t="s">
        <v>161</v>
      </c>
      <c r="U83" s="171" t="s">
        <v>672</v>
      </c>
      <c r="V83" s="171" t="s">
        <v>673</v>
      </c>
    </row>
    <row r="84" spans="1:25" ht="12" customHeight="1" x14ac:dyDescent="0.2">
      <c r="A84" s="166">
        <v>74</v>
      </c>
      <c r="B84" s="171" t="s">
        <v>855</v>
      </c>
      <c r="C84" s="172" t="s">
        <v>856</v>
      </c>
      <c r="D84" s="173" t="s">
        <v>340</v>
      </c>
      <c r="E84" s="173" t="s">
        <v>341</v>
      </c>
      <c r="F84" s="173" t="s">
        <v>341</v>
      </c>
      <c r="G84" s="174" t="s">
        <v>857</v>
      </c>
      <c r="H84" s="172" t="s">
        <v>856</v>
      </c>
      <c r="I84" s="174" t="s">
        <v>858</v>
      </c>
      <c r="J84" s="174" t="s">
        <v>859</v>
      </c>
      <c r="K84" s="174" t="s">
        <v>860</v>
      </c>
      <c r="L84" s="174"/>
      <c r="M84" s="173" t="s">
        <v>187</v>
      </c>
      <c r="O84" s="173" t="s">
        <v>173</v>
      </c>
      <c r="P84" s="171"/>
      <c r="Q84" s="173"/>
      <c r="S84" s="171"/>
      <c r="T84" s="171"/>
      <c r="U84" s="171"/>
      <c r="V84" s="171"/>
    </row>
    <row r="85" spans="1:25" ht="12" customHeight="1" x14ac:dyDescent="0.25">
      <c r="A85" s="166">
        <v>75</v>
      </c>
      <c r="B85" s="171" t="s">
        <v>861</v>
      </c>
      <c r="C85" s="172" t="s">
        <v>862</v>
      </c>
      <c r="D85" s="173" t="s">
        <v>206</v>
      </c>
      <c r="E85" s="173" t="s">
        <v>721</v>
      </c>
      <c r="F85" s="173" t="s">
        <v>722</v>
      </c>
      <c r="G85" s="212" t="s">
        <v>863</v>
      </c>
      <c r="H85" s="172" t="s">
        <v>862</v>
      </c>
      <c r="I85" s="212" t="s">
        <v>864</v>
      </c>
      <c r="J85" s="212" t="s">
        <v>865</v>
      </c>
      <c r="K85" s="213" t="s">
        <v>866</v>
      </c>
      <c r="L85" s="174"/>
      <c r="M85" s="173" t="s">
        <v>187</v>
      </c>
      <c r="O85" s="173" t="s">
        <v>173</v>
      </c>
      <c r="P85" s="171"/>
      <c r="Q85" s="173"/>
      <c r="S85" s="171"/>
      <c r="T85" s="171"/>
      <c r="U85" s="171"/>
      <c r="V85" s="171"/>
    </row>
    <row r="86" spans="1:25" ht="12" customHeight="1" x14ac:dyDescent="0.25">
      <c r="A86" s="166">
        <v>76</v>
      </c>
      <c r="B86" s="171" t="s">
        <v>867</v>
      </c>
      <c r="C86" s="172" t="s">
        <v>868</v>
      </c>
      <c r="D86" s="173" t="s">
        <v>167</v>
      </c>
      <c r="E86" s="173" t="s">
        <v>710</v>
      </c>
      <c r="F86" s="173" t="s">
        <v>711</v>
      </c>
      <c r="G86" s="212" t="s">
        <v>869</v>
      </c>
      <c r="H86" s="172" t="s">
        <v>868</v>
      </c>
      <c r="I86" s="214">
        <v>994364117</v>
      </c>
      <c r="J86" s="212" t="s">
        <v>870</v>
      </c>
      <c r="K86" s="213" t="s">
        <v>871</v>
      </c>
      <c r="L86" s="174"/>
      <c r="M86" s="173"/>
      <c r="O86" s="173"/>
      <c r="P86" s="171"/>
      <c r="Q86" s="173"/>
      <c r="S86" s="171"/>
      <c r="T86" s="171"/>
      <c r="U86" s="171"/>
      <c r="V86" s="171"/>
    </row>
    <row r="87" spans="1:25" ht="12" customHeight="1" x14ac:dyDescent="0.25">
      <c r="A87" s="166">
        <v>77</v>
      </c>
      <c r="B87" s="171" t="s">
        <v>872</v>
      </c>
      <c r="C87" s="172" t="s">
        <v>873</v>
      </c>
      <c r="D87" s="173" t="s">
        <v>228</v>
      </c>
      <c r="E87" s="173" t="s">
        <v>229</v>
      </c>
      <c r="F87" s="173" t="s">
        <v>742</v>
      </c>
      <c r="G87" s="174" t="s">
        <v>874</v>
      </c>
      <c r="H87" s="172" t="s">
        <v>875</v>
      </c>
      <c r="I87" s="174">
        <v>932430433</v>
      </c>
      <c r="J87" s="174" t="s">
        <v>876</v>
      </c>
      <c r="K87" s="174" t="s">
        <v>877</v>
      </c>
      <c r="L87" s="174"/>
      <c r="M87" s="173"/>
      <c r="N87" s="173"/>
      <c r="O87" s="173"/>
      <c r="P87" s="171"/>
      <c r="S87" s="171"/>
      <c r="T87" s="171"/>
      <c r="U87" s="204"/>
      <c r="V87" s="171"/>
      <c r="X87" s="174"/>
      <c r="Y87" s="174"/>
    </row>
    <row r="88" spans="1:25" ht="12" customHeight="1" x14ac:dyDescent="0.2">
      <c r="A88" s="166"/>
      <c r="B88" s="195" t="s">
        <v>878</v>
      </c>
      <c r="C88" s="215" t="s">
        <v>879</v>
      </c>
      <c r="D88" s="216" t="s">
        <v>167</v>
      </c>
      <c r="E88" s="216" t="s">
        <v>167</v>
      </c>
      <c r="F88" s="216" t="s">
        <v>168</v>
      </c>
      <c r="G88" s="217" t="s">
        <v>880</v>
      </c>
      <c r="H88" s="215" t="s">
        <v>881</v>
      </c>
      <c r="I88" s="217">
        <v>955795819</v>
      </c>
      <c r="J88" s="218" t="s">
        <v>882</v>
      </c>
      <c r="K88" s="218" t="s">
        <v>883</v>
      </c>
      <c r="L88" s="218"/>
      <c r="M88" s="218"/>
      <c r="N88" s="218"/>
      <c r="O88" s="218"/>
      <c r="P88" s="219"/>
    </row>
    <row r="89" spans="1:25" ht="12" customHeight="1" x14ac:dyDescent="0.25">
      <c r="A89" s="166"/>
      <c r="B89" s="220" t="s">
        <v>884</v>
      </c>
      <c r="C89" s="218" t="s">
        <v>885</v>
      </c>
      <c r="D89" s="218" t="s">
        <v>167</v>
      </c>
      <c r="E89" s="218" t="s">
        <v>167</v>
      </c>
      <c r="F89" s="218" t="s">
        <v>886</v>
      </c>
      <c r="G89" s="217" t="s">
        <v>887</v>
      </c>
      <c r="H89" s="218" t="s">
        <v>888</v>
      </c>
      <c r="I89" s="212" t="s">
        <v>889</v>
      </c>
      <c r="J89" s="218"/>
      <c r="K89" s="218"/>
      <c r="L89" s="218"/>
      <c r="M89" s="218"/>
      <c r="N89" s="218"/>
      <c r="O89" s="218"/>
      <c r="P89" s="219"/>
    </row>
    <row r="90" spans="1:25" ht="12" customHeight="1" x14ac:dyDescent="0.2">
      <c r="A90" s="166"/>
      <c r="B90" s="220" t="s">
        <v>890</v>
      </c>
      <c r="C90" t="s">
        <v>891</v>
      </c>
      <c r="D90" t="s">
        <v>892</v>
      </c>
      <c r="E90" s="218" t="s">
        <v>206</v>
      </c>
      <c r="F90" s="218" t="s">
        <v>206</v>
      </c>
      <c r="G90" s="217" t="s">
        <v>893</v>
      </c>
      <c r="H90" s="218" t="s">
        <v>894</v>
      </c>
      <c r="I90" s="217" t="s">
        <v>895</v>
      </c>
      <c r="J90" s="218" t="s">
        <v>896</v>
      </c>
      <c r="K90" s="218" t="s">
        <v>897</v>
      </c>
      <c r="L90" s="218"/>
      <c r="M90" s="218"/>
      <c r="N90" s="218"/>
      <c r="O90" s="218"/>
      <c r="P90" s="219"/>
    </row>
    <row r="91" spans="1:25" ht="12" customHeight="1" x14ac:dyDescent="0.2">
      <c r="A91" s="166"/>
      <c r="B91" s="220" t="s">
        <v>898</v>
      </c>
      <c r="C91" t="s">
        <v>899</v>
      </c>
      <c r="D91" s="218" t="s">
        <v>206</v>
      </c>
      <c r="E91" s="218" t="s">
        <v>206</v>
      </c>
      <c r="F91" s="218" t="s">
        <v>892</v>
      </c>
      <c r="G91" t="s">
        <v>900</v>
      </c>
      <c r="H91" s="218"/>
      <c r="I91" s="159">
        <v>963701331</v>
      </c>
      <c r="J91" s="218"/>
      <c r="K91" s="221"/>
      <c r="L91" s="218"/>
      <c r="M91" s="218"/>
      <c r="N91" s="218"/>
      <c r="O91" s="218"/>
      <c r="P91" s="219"/>
    </row>
    <row r="92" spans="1:25" ht="12" customHeight="1" x14ac:dyDescent="0.2">
      <c r="A92" s="166"/>
      <c r="B92" s="220" t="s">
        <v>901</v>
      </c>
      <c r="C92" t="s">
        <v>902</v>
      </c>
      <c r="D92" s="218" t="s">
        <v>167</v>
      </c>
      <c r="E92" s="218" t="s">
        <v>167</v>
      </c>
      <c r="F92" s="218" t="s">
        <v>903</v>
      </c>
      <c r="G92" s="217" t="s">
        <v>904</v>
      </c>
      <c r="H92" s="218"/>
      <c r="I92" s="159">
        <v>998185579</v>
      </c>
      <c r="J92" s="218"/>
      <c r="K92" s="218"/>
      <c r="L92" s="218"/>
      <c r="M92" s="218"/>
      <c r="N92" s="218"/>
      <c r="O92" s="218"/>
      <c r="P92" s="219"/>
    </row>
    <row r="93" spans="1:25" ht="12" customHeight="1" x14ac:dyDescent="0.2">
      <c r="A93" s="166"/>
      <c r="B93" s="220" t="s">
        <v>905</v>
      </c>
      <c r="C93" s="222" t="s">
        <v>906</v>
      </c>
      <c r="D93" s="218" t="s">
        <v>206</v>
      </c>
      <c r="E93" s="218" t="s">
        <v>206</v>
      </c>
      <c r="F93" s="218" t="s">
        <v>206</v>
      </c>
      <c r="G93" s="217" t="s">
        <v>907</v>
      </c>
      <c r="H93" s="218"/>
      <c r="I93" s="303" t="s">
        <v>908</v>
      </c>
      <c r="J93" s="304"/>
      <c r="K93" s="304"/>
      <c r="L93" s="304"/>
      <c r="M93" s="304"/>
      <c r="N93" s="304"/>
      <c r="O93" s="304"/>
      <c r="P93" s="304"/>
      <c r="Q93" s="305"/>
    </row>
    <row r="94" spans="1:25" ht="12" customHeight="1" x14ac:dyDescent="0.2">
      <c r="A94" s="166"/>
      <c r="B94" s="220"/>
      <c r="C94" s="218"/>
      <c r="D94" s="218"/>
      <c r="E94" s="218"/>
      <c r="F94" s="218"/>
      <c r="G94" s="218"/>
      <c r="H94" s="218"/>
      <c r="I94" s="220"/>
      <c r="J94" s="218"/>
      <c r="K94" s="221"/>
      <c r="L94" s="218"/>
      <c r="M94" s="218"/>
      <c r="N94" s="218"/>
      <c r="O94" s="218"/>
    </row>
    <row r="95" spans="1:25" ht="12" customHeight="1" x14ac:dyDescent="0.2">
      <c r="A95" s="166"/>
      <c r="B95" s="223"/>
      <c r="C95" s="218"/>
      <c r="D95" s="218"/>
      <c r="E95" s="218"/>
      <c r="F95" s="218"/>
      <c r="G95" s="217"/>
      <c r="H95" s="218"/>
      <c r="I95" s="217"/>
      <c r="J95" s="218"/>
      <c r="K95" s="221"/>
      <c r="L95" s="218"/>
      <c r="M95" s="218"/>
      <c r="N95" s="218"/>
      <c r="O95" s="218"/>
    </row>
    <row r="96" spans="1:25" ht="12" customHeight="1" x14ac:dyDescent="0.2">
      <c r="A96" s="166"/>
      <c r="B96" s="220"/>
      <c r="C96" s="218"/>
      <c r="D96" s="218"/>
      <c r="E96" s="218"/>
      <c r="F96" s="218"/>
      <c r="G96" s="217"/>
      <c r="H96" s="218"/>
      <c r="I96" s="217"/>
      <c r="J96" s="218"/>
      <c r="K96" s="224"/>
      <c r="L96" s="218"/>
      <c r="M96" s="218"/>
      <c r="N96" s="218"/>
      <c r="O96" s="218"/>
    </row>
    <row r="97" spans="1:15" ht="12" customHeight="1" x14ac:dyDescent="0.2">
      <c r="A97" s="166"/>
      <c r="B97" s="220"/>
      <c r="C97" s="218"/>
      <c r="D97" s="218"/>
      <c r="E97" s="218"/>
      <c r="F97" s="218"/>
      <c r="G97" s="217"/>
      <c r="H97" s="218"/>
      <c r="I97" s="217"/>
      <c r="J97" s="218"/>
      <c r="K97" s="224"/>
      <c r="L97" s="218"/>
      <c r="M97" s="218"/>
      <c r="N97" s="218"/>
      <c r="O97" s="218"/>
    </row>
    <row r="98" spans="1:15" ht="12" customHeight="1" x14ac:dyDescent="0.2">
      <c r="A98" s="166"/>
      <c r="B98" s="220"/>
      <c r="C98" s="218"/>
      <c r="D98" s="218"/>
      <c r="E98" s="218"/>
      <c r="F98" s="218"/>
      <c r="G98" s="217"/>
      <c r="H98" s="218"/>
      <c r="I98" s="217"/>
      <c r="J98" s="218"/>
      <c r="K98" s="224"/>
      <c r="L98" s="218"/>
      <c r="M98" s="218"/>
      <c r="N98" s="218"/>
      <c r="O98" s="218"/>
    </row>
    <row r="99" spans="1:15" ht="12" customHeight="1" x14ac:dyDescent="0.2">
      <c r="A99" s="166"/>
      <c r="B99" s="220"/>
      <c r="C99" s="218"/>
      <c r="D99" s="218"/>
      <c r="E99" s="218"/>
      <c r="F99" s="218"/>
      <c r="G99" s="217"/>
      <c r="H99" s="218"/>
      <c r="I99" s="217"/>
      <c r="J99" s="218"/>
      <c r="K99" s="224"/>
      <c r="L99" s="218"/>
      <c r="M99" s="218"/>
      <c r="N99" s="218"/>
      <c r="O99" s="218"/>
    </row>
    <row r="100" spans="1:15" ht="12" customHeight="1" x14ac:dyDescent="0.2">
      <c r="A100" s="166"/>
      <c r="B100" s="220"/>
      <c r="C100" s="218"/>
      <c r="D100" s="218"/>
      <c r="E100" s="218"/>
      <c r="F100" s="218"/>
      <c r="G100" s="218"/>
      <c r="H100" s="218"/>
      <c r="I100" s="217"/>
      <c r="J100" s="218"/>
      <c r="K100" s="218"/>
      <c r="L100" s="218"/>
      <c r="M100" s="218"/>
      <c r="N100" s="218"/>
      <c r="O100" s="218"/>
    </row>
    <row r="119" spans="2:25" ht="12" customHeight="1" x14ac:dyDescent="0.2">
      <c r="B119" s="225"/>
      <c r="C119" s="226"/>
      <c r="D119" s="227"/>
      <c r="E119" s="227"/>
      <c r="F119" s="227"/>
      <c r="G119" s="226"/>
      <c r="H119" s="226"/>
      <c r="I119" s="226"/>
      <c r="J119" s="226"/>
      <c r="K119" s="226"/>
      <c r="L119" s="226"/>
      <c r="M119" s="227"/>
      <c r="N119" s="227"/>
      <c r="O119" s="227"/>
      <c r="P119" s="227"/>
      <c r="S119" s="225"/>
      <c r="T119" s="225"/>
      <c r="U119" s="225"/>
      <c r="V119" s="228"/>
      <c r="X119" s="226"/>
      <c r="Y119" s="226"/>
    </row>
    <row r="120" spans="2:25" ht="12" customHeight="1" x14ac:dyDescent="0.2">
      <c r="B120" s="229"/>
      <c r="C120" s="230"/>
      <c r="D120" s="231"/>
      <c r="E120" s="231"/>
      <c r="F120" s="231"/>
      <c r="G120" s="232"/>
      <c r="H120" s="230"/>
      <c r="I120" s="232"/>
      <c r="J120" s="232"/>
      <c r="K120" s="232"/>
      <c r="L120" s="232"/>
      <c r="M120" s="231"/>
      <c r="N120" s="231"/>
      <c r="O120" s="231"/>
      <c r="P120" s="229"/>
      <c r="S120" s="229"/>
      <c r="T120" s="229"/>
      <c r="U120" s="229"/>
      <c r="V120" s="229"/>
      <c r="X120" s="232"/>
      <c r="Y120" s="232"/>
    </row>
    <row r="121" spans="2:25" ht="12" customHeight="1" x14ac:dyDescent="0.3">
      <c r="B121" s="229"/>
      <c r="C121" s="230"/>
      <c r="D121" s="231"/>
      <c r="E121" s="231"/>
      <c r="F121" s="231"/>
      <c r="G121" s="232"/>
      <c r="H121" s="230"/>
      <c r="I121" s="232"/>
      <c r="J121" s="232"/>
      <c r="K121" s="232"/>
      <c r="L121" s="232"/>
      <c r="M121" s="231"/>
      <c r="N121" s="231"/>
      <c r="O121" s="231"/>
      <c r="P121" s="229"/>
      <c r="S121" s="229"/>
      <c r="T121" s="229"/>
      <c r="U121" s="175"/>
      <c r="V121" s="176"/>
      <c r="X121" s="232"/>
      <c r="Y121" s="232"/>
    </row>
    <row r="122" spans="2:25" ht="12" customHeight="1" x14ac:dyDescent="0.2">
      <c r="B122" s="229"/>
      <c r="C122" s="230"/>
      <c r="D122" s="231"/>
      <c r="E122" s="231"/>
      <c r="F122" s="231"/>
      <c r="G122" s="232"/>
      <c r="H122" s="230"/>
      <c r="I122" s="232"/>
      <c r="J122" s="232"/>
      <c r="K122" s="232"/>
      <c r="L122" s="232"/>
      <c r="M122" s="231"/>
      <c r="N122" s="231"/>
      <c r="O122" s="231"/>
      <c r="P122" s="229"/>
      <c r="S122" s="229"/>
      <c r="T122" s="229"/>
      <c r="U122" s="229"/>
      <c r="V122" s="229"/>
      <c r="X122" s="232"/>
      <c r="Y122" s="232"/>
    </row>
    <row r="123" spans="2:25" ht="12" customHeight="1" x14ac:dyDescent="0.2">
      <c r="B123" s="229"/>
      <c r="C123" s="230"/>
      <c r="D123" s="231"/>
      <c r="E123" s="231"/>
      <c r="F123" s="231"/>
      <c r="G123" s="232"/>
      <c r="H123" s="230"/>
      <c r="I123" s="232"/>
      <c r="J123" s="232"/>
      <c r="K123" s="232"/>
      <c r="L123" s="232"/>
      <c r="M123" s="231"/>
      <c r="N123" s="231"/>
      <c r="O123" s="231"/>
      <c r="P123" s="229"/>
      <c r="S123" s="229"/>
      <c r="T123" s="229"/>
      <c r="U123" s="229"/>
      <c r="V123" s="229"/>
      <c r="X123" s="232"/>
      <c r="Y123" s="232"/>
    </row>
    <row r="124" spans="2:25" ht="12" customHeight="1" x14ac:dyDescent="0.2">
      <c r="B124" s="229"/>
      <c r="C124" s="230"/>
      <c r="D124" s="231"/>
      <c r="E124" s="231"/>
      <c r="F124" s="231"/>
      <c r="G124" s="232"/>
      <c r="H124" s="230"/>
      <c r="I124" s="232"/>
      <c r="J124" s="232"/>
      <c r="K124" s="232"/>
      <c r="L124" s="232"/>
      <c r="M124" s="231"/>
      <c r="N124" s="231"/>
      <c r="O124" s="231"/>
      <c r="P124" s="229"/>
      <c r="S124" s="229"/>
      <c r="T124" s="229"/>
      <c r="U124" s="229"/>
      <c r="V124" s="229"/>
      <c r="X124" s="232"/>
      <c r="Y124" s="232"/>
    </row>
    <row r="125" spans="2:25" ht="12" customHeight="1" x14ac:dyDescent="0.2">
      <c r="B125" s="229"/>
      <c r="C125" s="230"/>
      <c r="D125" s="231"/>
      <c r="E125" s="231"/>
      <c r="F125" s="231"/>
      <c r="G125" s="232"/>
      <c r="H125" s="230"/>
      <c r="I125" s="232"/>
      <c r="J125" s="232"/>
      <c r="K125" s="232"/>
      <c r="L125" s="232"/>
      <c r="M125" s="231"/>
      <c r="N125" s="231"/>
      <c r="O125" s="231"/>
      <c r="P125" s="229"/>
      <c r="S125" s="229"/>
      <c r="T125" s="229"/>
      <c r="U125" s="229"/>
      <c r="V125" s="229"/>
      <c r="X125" s="232"/>
      <c r="Y125" s="232"/>
    </row>
    <row r="126" spans="2:25" ht="12" customHeight="1" x14ac:dyDescent="0.2">
      <c r="B126" s="229"/>
      <c r="C126" s="230"/>
      <c r="D126" s="231"/>
      <c r="E126" s="231"/>
      <c r="F126" s="231"/>
      <c r="G126" s="232"/>
      <c r="H126" s="230"/>
      <c r="I126" s="232"/>
      <c r="J126" s="232"/>
      <c r="K126" s="232"/>
      <c r="L126" s="233"/>
      <c r="M126" s="231"/>
      <c r="N126" s="231"/>
      <c r="O126" s="231"/>
      <c r="P126" s="229"/>
      <c r="S126" s="229"/>
      <c r="T126" s="229"/>
      <c r="U126" s="229"/>
      <c r="V126" s="229"/>
      <c r="X126" s="232"/>
      <c r="Y126" s="232"/>
    </row>
    <row r="127" spans="2:25" ht="12" customHeight="1" x14ac:dyDescent="0.2">
      <c r="B127" s="229"/>
      <c r="C127" s="230"/>
      <c r="D127" s="231"/>
      <c r="E127" s="231"/>
      <c r="F127" s="231"/>
      <c r="G127" s="232"/>
      <c r="H127" s="230"/>
      <c r="I127" s="232"/>
      <c r="J127" s="232"/>
      <c r="K127" s="232"/>
      <c r="L127" s="232"/>
      <c r="M127" s="231"/>
      <c r="N127" s="231"/>
      <c r="O127" s="231"/>
      <c r="P127" s="229"/>
      <c r="S127" s="229"/>
      <c r="T127" s="229"/>
      <c r="U127" s="229"/>
      <c r="V127" s="229"/>
      <c r="X127" s="232"/>
      <c r="Y127" s="232"/>
    </row>
    <row r="128" spans="2:25" ht="12" customHeight="1" x14ac:dyDescent="0.2">
      <c r="B128" s="229"/>
      <c r="C128" s="230"/>
      <c r="D128" s="231"/>
      <c r="E128" s="231"/>
      <c r="F128" s="231"/>
      <c r="G128" s="232"/>
      <c r="H128" s="230"/>
      <c r="I128" s="232"/>
      <c r="J128" s="232"/>
      <c r="K128" s="232"/>
      <c r="L128" s="232"/>
      <c r="M128" s="231"/>
      <c r="N128" s="231"/>
      <c r="O128" s="231"/>
      <c r="P128" s="229"/>
      <c r="S128" s="229"/>
      <c r="T128" s="229"/>
      <c r="U128" s="229"/>
      <c r="V128" s="229"/>
      <c r="X128" s="232"/>
      <c r="Y128" s="232"/>
    </row>
    <row r="129" spans="2:25" ht="12" customHeight="1" x14ac:dyDescent="0.2">
      <c r="B129" s="229"/>
      <c r="C129" s="230"/>
      <c r="D129" s="231"/>
      <c r="E129" s="231"/>
      <c r="F129" s="231"/>
      <c r="G129" s="232"/>
      <c r="H129" s="230"/>
      <c r="I129" s="232"/>
      <c r="J129" s="232"/>
      <c r="K129" s="232"/>
      <c r="L129" s="232"/>
      <c r="M129" s="231"/>
      <c r="N129" s="231"/>
      <c r="O129" s="231"/>
      <c r="P129" s="229"/>
      <c r="S129" s="229"/>
      <c r="T129" s="229"/>
      <c r="U129" s="229"/>
      <c r="V129" s="229"/>
      <c r="X129" s="232"/>
      <c r="Y129" s="232"/>
    </row>
    <row r="130" spans="2:25" ht="12" customHeight="1" x14ac:dyDescent="0.25">
      <c r="B130" s="229"/>
      <c r="C130" s="230"/>
      <c r="D130" s="231"/>
      <c r="E130" s="231"/>
      <c r="F130" s="231"/>
      <c r="G130" s="232"/>
      <c r="H130" s="230"/>
      <c r="I130" s="232"/>
      <c r="J130" s="232"/>
      <c r="K130" s="232"/>
      <c r="L130" s="232"/>
      <c r="M130" s="231"/>
      <c r="N130" s="231"/>
      <c r="O130" s="231"/>
      <c r="P130" s="229"/>
      <c r="S130" s="229"/>
      <c r="T130" s="229"/>
      <c r="U130" s="234"/>
      <c r="V130" s="235"/>
      <c r="X130" s="232"/>
      <c r="Y130" s="232"/>
    </row>
    <row r="131" spans="2:25" ht="12" customHeight="1" x14ac:dyDescent="0.25">
      <c r="B131" s="229"/>
      <c r="C131" s="230"/>
      <c r="D131" s="231"/>
      <c r="E131" s="231"/>
      <c r="F131" s="231"/>
      <c r="G131" s="232"/>
      <c r="H131" s="230"/>
      <c r="I131" s="232"/>
      <c r="J131" s="232"/>
      <c r="K131" s="232"/>
      <c r="L131" s="232"/>
      <c r="M131" s="231"/>
      <c r="N131" s="231"/>
      <c r="O131" s="231"/>
      <c r="P131" s="229"/>
      <c r="S131" s="229"/>
      <c r="T131" s="229"/>
      <c r="U131" s="229"/>
      <c r="V131" s="236"/>
      <c r="X131" s="232"/>
      <c r="Y131" s="232"/>
    </row>
    <row r="132" spans="2:25" ht="12" customHeight="1" x14ac:dyDescent="0.2">
      <c r="B132" s="229"/>
      <c r="C132" s="230"/>
      <c r="D132" s="231"/>
      <c r="E132" s="231"/>
      <c r="F132" s="231"/>
      <c r="G132" s="232"/>
      <c r="H132" s="230"/>
      <c r="I132" s="232"/>
      <c r="J132" s="232"/>
      <c r="K132" s="232"/>
      <c r="L132" s="232"/>
      <c r="M132" s="231"/>
      <c r="N132" s="231"/>
      <c r="O132" s="231"/>
      <c r="P132" s="229"/>
      <c r="S132" s="229"/>
      <c r="T132" s="229"/>
      <c r="U132" s="229"/>
      <c r="V132" s="229"/>
      <c r="X132" s="232"/>
      <c r="Y132" s="232"/>
    </row>
    <row r="133" spans="2:25" ht="12" customHeight="1" x14ac:dyDescent="0.2">
      <c r="B133" s="229"/>
      <c r="C133" s="230"/>
      <c r="D133" s="231"/>
      <c r="E133" s="231"/>
      <c r="F133" s="231"/>
      <c r="G133" s="232"/>
      <c r="H133" s="230"/>
      <c r="I133" s="232"/>
      <c r="J133" s="232"/>
      <c r="K133" s="232"/>
      <c r="L133" s="232"/>
      <c r="M133" s="231"/>
      <c r="N133" s="231"/>
      <c r="O133" s="231"/>
      <c r="P133" s="229"/>
      <c r="S133" s="229"/>
      <c r="T133" s="229"/>
      <c r="U133" s="229"/>
      <c r="V133" s="229"/>
      <c r="X133" s="232"/>
      <c r="Y133" s="232"/>
    </row>
    <row r="134" spans="2:25" ht="12" customHeight="1" x14ac:dyDescent="0.2">
      <c r="B134" s="229"/>
      <c r="C134" s="230"/>
      <c r="D134" s="231"/>
      <c r="E134" s="231"/>
      <c r="F134" s="231"/>
      <c r="G134" s="232"/>
      <c r="H134" s="230"/>
      <c r="I134" s="232"/>
      <c r="J134" s="232"/>
      <c r="K134" s="232"/>
      <c r="L134" s="232"/>
      <c r="M134" s="231"/>
      <c r="N134" s="231"/>
      <c r="O134" s="231"/>
      <c r="P134" s="229"/>
      <c r="S134" s="229"/>
      <c r="T134" s="229"/>
      <c r="U134" s="229"/>
      <c r="V134" s="229"/>
      <c r="X134" s="232"/>
      <c r="Y134" s="232"/>
    </row>
    <row r="135" spans="2:25" ht="12" customHeight="1" x14ac:dyDescent="0.2">
      <c r="B135" s="229"/>
      <c r="C135" s="230"/>
      <c r="D135" s="231"/>
      <c r="E135" s="231"/>
      <c r="F135" s="231"/>
      <c r="G135" s="232"/>
      <c r="H135" s="230"/>
      <c r="I135" s="232"/>
      <c r="J135" s="232"/>
      <c r="K135" s="232"/>
      <c r="L135" s="232"/>
      <c r="M135" s="231"/>
      <c r="N135" s="231"/>
      <c r="O135" s="231"/>
      <c r="P135" s="229"/>
      <c r="S135" s="229"/>
      <c r="T135" s="229"/>
      <c r="U135" s="229"/>
      <c r="V135" s="229"/>
      <c r="X135" s="232"/>
      <c r="Y135" s="232"/>
    </row>
    <row r="136" spans="2:25" ht="12" customHeight="1" x14ac:dyDescent="0.2">
      <c r="B136" s="229"/>
      <c r="C136" s="230"/>
      <c r="D136" s="231"/>
      <c r="E136" s="231"/>
      <c r="F136" s="231"/>
      <c r="G136" s="232"/>
      <c r="H136" s="230"/>
      <c r="I136" s="232"/>
      <c r="J136" s="232"/>
      <c r="K136" s="232"/>
      <c r="L136" s="232"/>
      <c r="M136" s="231"/>
      <c r="N136" s="231"/>
      <c r="O136" s="231"/>
      <c r="P136" s="229"/>
      <c r="S136" s="229"/>
      <c r="T136" s="229"/>
      <c r="U136" s="229"/>
      <c r="V136" s="229"/>
      <c r="X136" s="232"/>
      <c r="Y136" s="232"/>
    </row>
    <row r="137" spans="2:25" ht="12" customHeight="1" x14ac:dyDescent="0.2">
      <c r="B137" s="229"/>
      <c r="C137" s="230"/>
      <c r="D137" s="231"/>
      <c r="E137" s="231"/>
      <c r="F137" s="231"/>
      <c r="G137" s="232"/>
      <c r="H137" s="230"/>
      <c r="I137" s="232"/>
      <c r="J137" s="232"/>
      <c r="K137" s="232"/>
      <c r="L137" s="232"/>
      <c r="M137" s="231"/>
      <c r="N137" s="231"/>
      <c r="O137" s="231"/>
      <c r="P137" s="229"/>
      <c r="S137" s="229"/>
      <c r="T137" s="229"/>
      <c r="U137" s="229"/>
      <c r="V137" s="229"/>
      <c r="X137" s="232"/>
      <c r="Y137" s="232"/>
    </row>
    <row r="138" spans="2:25" ht="12" customHeight="1" x14ac:dyDescent="0.2">
      <c r="B138" s="229"/>
      <c r="C138" s="230"/>
      <c r="D138" s="231"/>
      <c r="E138" s="231"/>
      <c r="F138" s="231"/>
      <c r="G138" s="232"/>
      <c r="H138" s="230"/>
      <c r="I138" s="232"/>
      <c r="J138" s="232"/>
      <c r="K138" s="232"/>
      <c r="L138" s="232"/>
      <c r="M138" s="231"/>
      <c r="N138" s="231"/>
      <c r="O138" s="231"/>
      <c r="P138" s="229"/>
      <c r="S138" s="229"/>
      <c r="T138" s="229"/>
      <c r="U138" s="229"/>
      <c r="V138" s="229"/>
      <c r="X138" s="232"/>
      <c r="Y138" s="232"/>
    </row>
    <row r="139" spans="2:25" ht="12" customHeight="1" x14ac:dyDescent="0.2">
      <c r="B139" s="229"/>
      <c r="C139" s="230"/>
      <c r="D139" s="231"/>
      <c r="E139" s="231"/>
      <c r="F139" s="231"/>
      <c r="G139" s="232"/>
      <c r="H139" s="230"/>
      <c r="I139" s="232"/>
      <c r="J139" s="232"/>
      <c r="K139" s="232"/>
      <c r="L139" s="232"/>
      <c r="M139" s="231"/>
      <c r="N139" s="231"/>
      <c r="O139" s="231"/>
      <c r="P139" s="229"/>
      <c r="S139" s="229"/>
      <c r="T139" s="229"/>
      <c r="U139" s="229"/>
      <c r="V139" s="229"/>
      <c r="X139" s="232"/>
      <c r="Y139" s="232"/>
    </row>
    <row r="140" spans="2:25" ht="12" customHeight="1" x14ac:dyDescent="0.2">
      <c r="B140" s="229"/>
      <c r="C140" s="230"/>
      <c r="D140" s="231"/>
      <c r="E140" s="231"/>
      <c r="F140" s="231"/>
      <c r="G140" s="232"/>
      <c r="H140" s="230"/>
      <c r="I140" s="232"/>
      <c r="J140" s="232"/>
      <c r="K140" s="232"/>
      <c r="L140" s="232"/>
      <c r="M140" s="231"/>
      <c r="N140" s="231"/>
      <c r="O140" s="231"/>
      <c r="P140" s="229"/>
      <c r="S140" s="229"/>
      <c r="T140" s="229"/>
      <c r="U140" s="229"/>
      <c r="V140" s="229"/>
      <c r="X140" s="232"/>
      <c r="Y140" s="232"/>
    </row>
    <row r="141" spans="2:25" ht="12" customHeight="1" x14ac:dyDescent="0.2">
      <c r="B141" s="229"/>
      <c r="C141" s="230"/>
      <c r="D141" s="231"/>
      <c r="E141" s="231"/>
      <c r="F141" s="231"/>
      <c r="G141" s="232"/>
      <c r="H141" s="230"/>
      <c r="I141" s="232"/>
      <c r="J141" s="232"/>
      <c r="K141" s="232"/>
      <c r="L141" s="232"/>
      <c r="M141" s="231"/>
      <c r="N141" s="231"/>
      <c r="O141" s="231"/>
      <c r="P141" s="229"/>
      <c r="S141" s="229"/>
      <c r="T141" s="229"/>
      <c r="U141" s="229"/>
      <c r="V141" s="229"/>
      <c r="X141" s="232"/>
      <c r="Y141" s="232"/>
    </row>
    <row r="142" spans="2:25" ht="12" customHeight="1" x14ac:dyDescent="0.2">
      <c r="B142" s="229"/>
      <c r="C142" s="230"/>
      <c r="D142" s="231"/>
      <c r="E142" s="231"/>
      <c r="F142" s="231"/>
      <c r="G142" s="232"/>
      <c r="H142" s="230"/>
      <c r="I142" s="232"/>
      <c r="J142" s="232"/>
      <c r="K142" s="232"/>
      <c r="L142" s="232"/>
      <c r="M142" s="231"/>
      <c r="N142" s="231"/>
      <c r="O142" s="231"/>
      <c r="P142" s="229"/>
      <c r="S142" s="229"/>
      <c r="T142" s="229"/>
      <c r="U142" s="229"/>
      <c r="V142" s="229"/>
      <c r="X142" s="232"/>
      <c r="Y142" s="232"/>
    </row>
    <row r="143" spans="2:25" ht="12" customHeight="1" x14ac:dyDescent="0.2">
      <c r="B143" s="229"/>
      <c r="C143" s="230"/>
      <c r="D143" s="231"/>
      <c r="E143" s="231"/>
      <c r="F143" s="231"/>
      <c r="G143" s="232"/>
      <c r="H143" s="230"/>
      <c r="I143" s="232"/>
      <c r="J143" s="232"/>
      <c r="K143" s="232"/>
      <c r="L143" s="232"/>
      <c r="M143" s="231"/>
      <c r="N143" s="231"/>
      <c r="O143" s="231"/>
      <c r="P143" s="229"/>
      <c r="S143" s="229"/>
      <c r="T143" s="229"/>
      <c r="U143" s="229"/>
      <c r="V143" s="229"/>
      <c r="X143" s="232"/>
      <c r="Y143" s="232"/>
    </row>
    <row r="144" spans="2:25" ht="12" customHeight="1" x14ac:dyDescent="0.2">
      <c r="B144" s="229"/>
      <c r="C144" s="230"/>
      <c r="D144" s="231"/>
      <c r="E144" s="231"/>
      <c r="F144" s="231"/>
      <c r="G144" s="232"/>
      <c r="H144" s="230"/>
      <c r="I144" s="232"/>
      <c r="J144" s="232"/>
      <c r="K144" s="232"/>
      <c r="L144" s="232"/>
      <c r="M144" s="231"/>
      <c r="N144" s="231"/>
      <c r="O144" s="231"/>
      <c r="P144" s="229"/>
      <c r="S144" s="229"/>
      <c r="T144" s="229"/>
      <c r="U144" s="229"/>
      <c r="V144" s="229"/>
      <c r="X144" s="232"/>
      <c r="Y144" s="232"/>
    </row>
    <row r="145" spans="2:25" ht="12" customHeight="1" x14ac:dyDescent="0.2">
      <c r="B145" s="229"/>
      <c r="C145" s="230"/>
      <c r="D145" s="231"/>
      <c r="E145" s="231"/>
      <c r="F145" s="231"/>
      <c r="G145" s="232"/>
      <c r="H145" s="230"/>
      <c r="I145" s="232"/>
      <c r="J145" s="232"/>
      <c r="K145" s="232"/>
      <c r="L145" s="232"/>
      <c r="M145" s="231"/>
      <c r="N145" s="231"/>
      <c r="O145" s="231"/>
      <c r="P145" s="229"/>
      <c r="S145" s="229"/>
      <c r="T145" s="229"/>
      <c r="U145" s="229"/>
      <c r="V145" s="229"/>
      <c r="X145" s="232"/>
      <c r="Y145" s="232"/>
    </row>
    <row r="146" spans="2:25" ht="12" customHeight="1" x14ac:dyDescent="0.25">
      <c r="B146" s="229"/>
      <c r="C146" s="230"/>
      <c r="D146" s="231"/>
      <c r="E146" s="231"/>
      <c r="F146" s="231"/>
      <c r="G146" s="232"/>
      <c r="H146" s="230"/>
      <c r="I146" s="232"/>
      <c r="J146" s="232"/>
      <c r="K146" s="232"/>
      <c r="L146" s="232"/>
      <c r="M146" s="231"/>
      <c r="N146" s="231"/>
      <c r="O146" s="231"/>
      <c r="P146" s="229"/>
      <c r="S146" s="229"/>
      <c r="T146" s="229"/>
      <c r="U146" s="237"/>
      <c r="V146" s="229"/>
      <c r="X146" s="232"/>
      <c r="Y146" s="232"/>
    </row>
    <row r="147" spans="2:25" ht="12" customHeight="1" x14ac:dyDescent="0.2">
      <c r="B147" s="229"/>
      <c r="C147" s="230"/>
      <c r="D147" s="231"/>
      <c r="E147" s="231"/>
      <c r="F147" s="231"/>
      <c r="G147" s="232"/>
      <c r="H147" s="230"/>
      <c r="I147" s="232"/>
      <c r="J147" s="232"/>
      <c r="K147" s="232"/>
      <c r="L147" s="233"/>
      <c r="M147" s="231"/>
      <c r="N147" s="231"/>
      <c r="O147" s="231"/>
      <c r="P147" s="229"/>
      <c r="S147" s="229"/>
      <c r="T147" s="229"/>
      <c r="U147" s="229"/>
      <c r="V147" s="229"/>
      <c r="X147" s="232"/>
      <c r="Y147" s="232"/>
    </row>
    <row r="148" spans="2:25" ht="12" customHeight="1" x14ac:dyDescent="0.2">
      <c r="B148" s="229"/>
      <c r="C148" s="230"/>
      <c r="D148" s="231"/>
      <c r="E148" s="231"/>
      <c r="F148" s="231"/>
      <c r="G148" s="232"/>
      <c r="H148" s="230"/>
      <c r="I148" s="232"/>
      <c r="J148" s="232"/>
      <c r="K148" s="232"/>
      <c r="L148" s="232"/>
      <c r="M148" s="231"/>
      <c r="N148" s="231"/>
      <c r="O148" s="231"/>
      <c r="P148" s="229"/>
      <c r="S148" s="229"/>
      <c r="T148" s="229"/>
      <c r="U148" s="229"/>
      <c r="V148" s="229"/>
      <c r="X148" s="232"/>
      <c r="Y148" s="232"/>
    </row>
    <row r="149" spans="2:25" ht="12" customHeight="1" x14ac:dyDescent="0.2">
      <c r="B149" s="229"/>
      <c r="C149" s="230"/>
      <c r="D149" s="231"/>
      <c r="E149" s="231"/>
      <c r="F149" s="231"/>
      <c r="G149" s="232"/>
      <c r="H149" s="230"/>
      <c r="I149" s="232"/>
      <c r="J149" s="232"/>
      <c r="K149" s="232"/>
      <c r="L149" s="232"/>
      <c r="M149" s="231"/>
      <c r="N149" s="231"/>
      <c r="O149" s="231"/>
      <c r="P149" s="229"/>
      <c r="S149" s="229"/>
      <c r="T149" s="229"/>
      <c r="U149" s="229"/>
      <c r="V149" s="229"/>
      <c r="X149" s="232"/>
      <c r="Y149" s="232"/>
    </row>
    <row r="150" spans="2:25" ht="12" customHeight="1" x14ac:dyDescent="0.2">
      <c r="B150" s="229"/>
      <c r="C150" s="230"/>
      <c r="D150" s="231"/>
      <c r="E150" s="231"/>
      <c r="F150" s="231"/>
      <c r="G150" s="232"/>
      <c r="H150" s="230"/>
      <c r="I150" s="232"/>
      <c r="J150" s="232"/>
      <c r="K150" s="232"/>
      <c r="L150" s="238"/>
      <c r="M150" s="231"/>
      <c r="N150" s="231"/>
      <c r="O150" s="231"/>
      <c r="P150" s="229"/>
      <c r="S150" s="229"/>
      <c r="T150" s="229"/>
      <c r="U150" s="229"/>
      <c r="V150" s="229"/>
      <c r="X150" s="238"/>
      <c r="Y150" s="238"/>
    </row>
    <row r="151" spans="2:25" ht="12" customHeight="1" x14ac:dyDescent="0.2">
      <c r="B151" s="229"/>
      <c r="C151" s="230"/>
      <c r="D151" s="231"/>
      <c r="E151" s="231"/>
      <c r="F151" s="231"/>
      <c r="G151" s="232"/>
      <c r="H151" s="230"/>
      <c r="I151" s="232"/>
      <c r="J151" s="232"/>
      <c r="K151" s="232"/>
      <c r="L151" s="232"/>
      <c r="M151" s="231"/>
      <c r="N151" s="231"/>
      <c r="O151" s="231"/>
      <c r="P151" s="229"/>
      <c r="S151" s="229"/>
      <c r="T151" s="229"/>
      <c r="U151" s="229"/>
      <c r="V151" s="229"/>
      <c r="X151" s="232"/>
      <c r="Y151" s="232"/>
    </row>
    <row r="152" spans="2:25" ht="12" customHeight="1" x14ac:dyDescent="0.2">
      <c r="B152" s="229"/>
      <c r="C152" s="230"/>
      <c r="D152" s="231"/>
      <c r="E152" s="231"/>
      <c r="F152" s="231"/>
      <c r="G152" s="232"/>
      <c r="H152" s="230"/>
      <c r="I152" s="232"/>
      <c r="J152" s="232"/>
      <c r="K152" s="232"/>
      <c r="L152" s="232"/>
      <c r="M152" s="231"/>
      <c r="N152" s="231"/>
      <c r="O152" s="231"/>
      <c r="P152" s="229"/>
      <c r="S152" s="229"/>
      <c r="T152" s="229"/>
      <c r="U152" s="229"/>
      <c r="V152" s="229"/>
      <c r="X152" s="232"/>
      <c r="Y152" s="232"/>
    </row>
    <row r="153" spans="2:25" ht="12" customHeight="1" x14ac:dyDescent="0.2">
      <c r="B153" s="229"/>
      <c r="C153" s="230"/>
      <c r="D153" s="231"/>
      <c r="E153" s="231"/>
      <c r="F153" s="231"/>
      <c r="G153" s="232"/>
      <c r="H153" s="230"/>
      <c r="I153" s="232"/>
      <c r="J153" s="232"/>
      <c r="K153" s="232"/>
      <c r="L153" s="232"/>
      <c r="M153" s="231"/>
      <c r="N153" s="231"/>
      <c r="O153" s="231"/>
      <c r="P153" s="229"/>
      <c r="S153" s="229"/>
      <c r="T153" s="229"/>
      <c r="U153" s="229"/>
      <c r="V153" s="229"/>
      <c r="X153" s="232"/>
      <c r="Y153" s="232"/>
    </row>
    <row r="154" spans="2:25" ht="12" customHeight="1" x14ac:dyDescent="0.2">
      <c r="B154" s="229"/>
      <c r="C154" s="230"/>
      <c r="D154" s="231"/>
      <c r="E154" s="231"/>
      <c r="F154" s="231"/>
      <c r="G154" s="232"/>
      <c r="H154" s="230"/>
      <c r="I154" s="232"/>
      <c r="J154" s="232"/>
      <c r="K154" s="232"/>
      <c r="L154" s="232"/>
      <c r="M154" s="231"/>
      <c r="N154" s="231"/>
      <c r="O154" s="231"/>
      <c r="P154" s="229"/>
      <c r="S154" s="229"/>
      <c r="T154" s="229"/>
      <c r="U154" s="229"/>
      <c r="V154" s="229"/>
      <c r="X154" s="232"/>
      <c r="Y154" s="232"/>
    </row>
    <row r="155" spans="2:25" ht="12" customHeight="1" x14ac:dyDescent="0.2">
      <c r="B155" s="229"/>
      <c r="C155" s="230"/>
      <c r="D155" s="231"/>
      <c r="E155" s="231"/>
      <c r="F155" s="231"/>
      <c r="G155" s="232"/>
      <c r="H155" s="230"/>
      <c r="I155" s="232"/>
      <c r="J155" s="232"/>
      <c r="K155" s="232"/>
      <c r="L155" s="232"/>
      <c r="M155" s="231"/>
      <c r="N155" s="231"/>
      <c r="O155" s="231"/>
      <c r="P155" s="229"/>
      <c r="S155" s="229"/>
      <c r="T155" s="229"/>
      <c r="U155" s="229"/>
      <c r="V155" s="229"/>
      <c r="X155" s="232"/>
      <c r="Y155" s="232"/>
    </row>
    <row r="156" spans="2:25" ht="12" customHeight="1" x14ac:dyDescent="0.2">
      <c r="B156" s="229"/>
      <c r="C156" s="230"/>
      <c r="D156" s="231"/>
      <c r="E156" s="231"/>
      <c r="F156" s="231"/>
      <c r="G156" s="232"/>
      <c r="H156" s="230"/>
      <c r="I156" s="232"/>
      <c r="J156" s="232"/>
      <c r="K156" s="232"/>
      <c r="L156" s="232"/>
      <c r="M156" s="231"/>
      <c r="N156" s="231"/>
      <c r="O156" s="231"/>
      <c r="P156" s="229"/>
      <c r="S156" s="229"/>
      <c r="T156" s="229"/>
      <c r="U156" s="229"/>
      <c r="V156" s="229"/>
      <c r="X156" s="232"/>
      <c r="Y156" s="232"/>
    </row>
    <row r="157" spans="2:25" ht="12" customHeight="1" x14ac:dyDescent="0.2">
      <c r="B157" s="229"/>
      <c r="C157" s="230"/>
      <c r="D157" s="231"/>
      <c r="E157" s="231"/>
      <c r="F157" s="231"/>
      <c r="G157" s="232"/>
      <c r="H157" s="230"/>
      <c r="I157" s="232"/>
      <c r="J157" s="232"/>
      <c r="K157" s="232"/>
      <c r="L157" s="232"/>
      <c r="M157" s="231"/>
      <c r="N157" s="231"/>
      <c r="O157" s="231"/>
      <c r="P157" s="229"/>
      <c r="S157" s="229"/>
      <c r="T157" s="229"/>
      <c r="U157" s="229"/>
      <c r="V157" s="229"/>
      <c r="X157" s="232"/>
      <c r="Y157" s="232"/>
    </row>
    <row r="158" spans="2:25" ht="12" customHeight="1" x14ac:dyDescent="0.2">
      <c r="B158" s="229"/>
      <c r="C158" s="230"/>
      <c r="D158" s="231"/>
      <c r="E158" s="231"/>
      <c r="F158" s="231"/>
      <c r="G158" s="232"/>
      <c r="H158" s="230"/>
      <c r="I158" s="232"/>
      <c r="J158" s="232"/>
      <c r="K158" s="232"/>
      <c r="L158" s="232"/>
      <c r="M158" s="231"/>
      <c r="N158" s="231"/>
      <c r="O158" s="231"/>
      <c r="P158" s="229"/>
      <c r="S158" s="229"/>
      <c r="T158" s="229"/>
      <c r="U158" s="229"/>
      <c r="V158" s="229"/>
      <c r="X158" s="232"/>
      <c r="Y158" s="232"/>
    </row>
    <row r="159" spans="2:25" ht="12" customHeight="1" x14ac:dyDescent="0.2">
      <c r="B159" s="229"/>
      <c r="C159" s="230"/>
      <c r="D159" s="231"/>
      <c r="E159" s="231"/>
      <c r="F159" s="231"/>
      <c r="G159" s="232"/>
      <c r="H159" s="230"/>
      <c r="I159" s="232"/>
      <c r="J159" s="232"/>
      <c r="K159" s="232"/>
      <c r="L159" s="232"/>
      <c r="M159" s="231"/>
      <c r="N159" s="231"/>
      <c r="O159" s="231"/>
      <c r="P159" s="229"/>
      <c r="S159" s="229"/>
      <c r="T159" s="229"/>
      <c r="U159" s="229"/>
      <c r="V159" s="229"/>
      <c r="X159" s="232"/>
      <c r="Y159" s="232"/>
    </row>
    <row r="160" spans="2:25" ht="12" customHeight="1" x14ac:dyDescent="0.2">
      <c r="B160" s="229"/>
      <c r="C160" s="230"/>
      <c r="D160" s="231"/>
      <c r="E160" s="231"/>
      <c r="F160" s="231"/>
      <c r="G160" s="232"/>
      <c r="H160" s="230"/>
      <c r="I160" s="232"/>
      <c r="J160" s="232"/>
      <c r="K160" s="232"/>
      <c r="L160" s="232"/>
      <c r="M160" s="231"/>
      <c r="N160" s="231"/>
      <c r="O160" s="231"/>
      <c r="P160" s="229"/>
      <c r="S160" s="229"/>
      <c r="T160" s="229"/>
      <c r="U160" s="229"/>
      <c r="V160" s="229"/>
      <c r="X160" s="232"/>
      <c r="Y160" s="232"/>
    </row>
    <row r="161" spans="2:25" ht="12" customHeight="1" x14ac:dyDescent="0.2">
      <c r="B161" s="229"/>
      <c r="C161" s="230"/>
      <c r="D161" s="231"/>
      <c r="E161" s="231"/>
      <c r="F161" s="231"/>
      <c r="G161" s="232"/>
      <c r="H161" s="230"/>
      <c r="I161" s="232"/>
      <c r="J161" s="232"/>
      <c r="K161" s="232"/>
      <c r="L161" s="232"/>
      <c r="M161" s="231"/>
      <c r="N161" s="231"/>
      <c r="O161" s="231"/>
      <c r="P161" s="229"/>
      <c r="S161" s="229"/>
      <c r="T161" s="229"/>
      <c r="U161" s="229"/>
      <c r="V161" s="229"/>
      <c r="X161" s="232"/>
      <c r="Y161" s="232"/>
    </row>
    <row r="162" spans="2:25" ht="12" customHeight="1" x14ac:dyDescent="0.2">
      <c r="B162" s="229"/>
      <c r="C162" s="230"/>
      <c r="D162" s="231"/>
      <c r="E162" s="231"/>
      <c r="F162" s="231"/>
      <c r="G162" s="232"/>
      <c r="H162" s="230"/>
      <c r="I162" s="232"/>
      <c r="J162" s="232"/>
      <c r="K162" s="232"/>
      <c r="L162" s="232"/>
      <c r="M162" s="231"/>
      <c r="N162" s="231"/>
      <c r="O162" s="231"/>
      <c r="P162" s="229"/>
      <c r="S162" s="229"/>
      <c r="T162" s="229"/>
      <c r="U162" s="229"/>
      <c r="V162" s="229"/>
      <c r="X162" s="232"/>
      <c r="Y162" s="232"/>
    </row>
    <row r="163" spans="2:25" ht="12" customHeight="1" x14ac:dyDescent="0.2">
      <c r="B163" s="229"/>
      <c r="C163" s="230"/>
      <c r="D163" s="231"/>
      <c r="E163" s="231"/>
      <c r="F163" s="231"/>
      <c r="G163" s="232"/>
      <c r="H163" s="230"/>
      <c r="I163" s="232"/>
      <c r="J163" s="232"/>
      <c r="K163" s="232"/>
      <c r="L163" s="232"/>
      <c r="M163" s="231"/>
      <c r="N163" s="231"/>
      <c r="O163" s="231"/>
      <c r="P163" s="229"/>
      <c r="S163" s="229"/>
      <c r="T163" s="229"/>
      <c r="U163" s="229"/>
      <c r="V163" s="229"/>
      <c r="X163" s="232"/>
      <c r="Y163" s="232"/>
    </row>
    <row r="164" spans="2:25" ht="12" customHeight="1" x14ac:dyDescent="0.2">
      <c r="B164" s="229"/>
      <c r="C164" s="230"/>
      <c r="D164" s="231"/>
      <c r="E164" s="231"/>
      <c r="F164" s="231"/>
      <c r="G164" s="232"/>
      <c r="H164" s="230"/>
      <c r="I164" s="232"/>
      <c r="J164" s="232"/>
      <c r="K164" s="232"/>
      <c r="L164" s="232"/>
      <c r="M164" s="231"/>
      <c r="N164" s="231"/>
      <c r="O164" s="231"/>
      <c r="P164" s="229"/>
      <c r="S164" s="229"/>
      <c r="T164" s="229"/>
      <c r="U164" s="229"/>
      <c r="V164" s="229"/>
      <c r="X164" s="232"/>
      <c r="Y164" s="232"/>
    </row>
    <row r="165" spans="2:25" ht="12" customHeight="1" x14ac:dyDescent="0.2">
      <c r="B165" s="229"/>
      <c r="C165" s="230"/>
      <c r="D165" s="231"/>
      <c r="E165" s="231"/>
      <c r="F165" s="231"/>
      <c r="G165" s="232"/>
      <c r="H165" s="230"/>
      <c r="I165" s="232"/>
      <c r="J165" s="232"/>
      <c r="K165" s="232"/>
      <c r="L165" s="232"/>
      <c r="M165" s="231"/>
      <c r="N165" s="231"/>
      <c r="O165" s="231"/>
      <c r="P165" s="229"/>
      <c r="S165" s="229"/>
      <c r="T165" s="229"/>
      <c r="U165" s="229"/>
      <c r="V165" s="229"/>
      <c r="X165" s="232"/>
      <c r="Y165" s="232"/>
    </row>
    <row r="166" spans="2:25" ht="12" customHeight="1" x14ac:dyDescent="0.2">
      <c r="B166" s="229"/>
      <c r="C166" s="230"/>
      <c r="D166" s="231"/>
      <c r="E166" s="231"/>
      <c r="F166" s="231"/>
      <c r="G166" s="232"/>
      <c r="H166" s="230"/>
      <c r="I166" s="232"/>
      <c r="J166" s="232"/>
      <c r="K166" s="232"/>
      <c r="L166" s="232"/>
      <c r="M166" s="231"/>
      <c r="N166" s="231"/>
      <c r="O166" s="231"/>
      <c r="P166" s="229"/>
      <c r="S166" s="229"/>
      <c r="T166" s="229"/>
      <c r="U166" s="229"/>
      <c r="V166" s="229"/>
      <c r="X166" s="232"/>
      <c r="Y166" s="232"/>
    </row>
    <row r="167" spans="2:25" ht="12" customHeight="1" x14ac:dyDescent="0.2">
      <c r="B167" s="229"/>
      <c r="C167" s="230"/>
      <c r="D167" s="231"/>
      <c r="E167" s="231"/>
      <c r="F167" s="231"/>
      <c r="G167" s="232"/>
      <c r="H167" s="230"/>
      <c r="I167" s="232"/>
      <c r="J167" s="232"/>
      <c r="K167" s="232"/>
      <c r="L167" s="232"/>
      <c r="M167" s="231"/>
      <c r="N167" s="231"/>
      <c r="O167" s="231"/>
      <c r="P167" s="229"/>
      <c r="S167" s="229"/>
      <c r="T167" s="229"/>
      <c r="U167" s="229"/>
      <c r="V167" s="229"/>
      <c r="X167" s="232"/>
      <c r="Y167" s="232"/>
    </row>
    <row r="168" spans="2:25" ht="12" customHeight="1" x14ac:dyDescent="0.2">
      <c r="B168" s="229"/>
      <c r="C168" s="230"/>
      <c r="D168" s="231"/>
      <c r="E168" s="231"/>
      <c r="F168" s="231"/>
      <c r="G168" s="232"/>
      <c r="H168" s="230"/>
      <c r="I168" s="232"/>
      <c r="J168" s="232"/>
      <c r="K168" s="232"/>
      <c r="L168" s="232"/>
      <c r="M168" s="231"/>
      <c r="N168" s="231"/>
      <c r="O168" s="231"/>
      <c r="P168" s="229"/>
      <c r="S168" s="229"/>
      <c r="T168" s="229"/>
      <c r="U168" s="229"/>
      <c r="V168" s="229"/>
      <c r="X168" s="232"/>
      <c r="Y168" s="232"/>
    </row>
    <row r="169" spans="2:25" ht="12" customHeight="1" x14ac:dyDescent="0.2">
      <c r="B169" s="229"/>
      <c r="C169" s="230"/>
      <c r="D169" s="231"/>
      <c r="E169" s="231"/>
      <c r="F169" s="231"/>
      <c r="G169" s="232"/>
      <c r="H169" s="230"/>
      <c r="I169" s="232"/>
      <c r="J169" s="232"/>
      <c r="K169" s="232"/>
      <c r="L169" s="232"/>
      <c r="M169" s="231"/>
      <c r="N169" s="231"/>
      <c r="O169" s="231"/>
      <c r="P169" s="229"/>
      <c r="S169" s="229"/>
      <c r="T169" s="229"/>
      <c r="U169" s="229"/>
      <c r="V169" s="229"/>
      <c r="X169" s="232"/>
      <c r="Y169" s="232"/>
    </row>
    <row r="170" spans="2:25" ht="12" customHeight="1" x14ac:dyDescent="0.2">
      <c r="B170" s="229"/>
      <c r="C170" s="230"/>
      <c r="D170" s="231"/>
      <c r="E170" s="231"/>
      <c r="F170" s="231"/>
      <c r="G170" s="232"/>
      <c r="H170" s="230"/>
      <c r="I170" s="232"/>
      <c r="J170" s="232"/>
      <c r="K170" s="232"/>
      <c r="L170" s="232"/>
      <c r="M170" s="231"/>
      <c r="N170" s="231"/>
      <c r="O170" s="231"/>
      <c r="P170" s="229"/>
      <c r="S170" s="229"/>
      <c r="T170" s="229"/>
      <c r="U170" s="229"/>
      <c r="V170" s="229"/>
      <c r="X170" s="232"/>
      <c r="Y170" s="232"/>
    </row>
    <row r="171" spans="2:25" ht="12" customHeight="1" x14ac:dyDescent="0.2">
      <c r="B171" s="229"/>
      <c r="C171" s="230"/>
      <c r="D171" s="231"/>
      <c r="E171" s="231"/>
      <c r="F171" s="231"/>
      <c r="G171" s="232"/>
      <c r="H171" s="230"/>
      <c r="I171" s="232"/>
      <c r="J171" s="232"/>
      <c r="K171" s="232"/>
      <c r="L171" s="232"/>
      <c r="M171" s="231"/>
      <c r="N171" s="231"/>
      <c r="O171" s="231"/>
      <c r="P171" s="229"/>
      <c r="S171" s="229"/>
      <c r="T171" s="229"/>
      <c r="U171" s="229"/>
      <c r="V171" s="229"/>
      <c r="X171" s="232"/>
      <c r="Y171" s="232"/>
    </row>
    <row r="172" spans="2:25" ht="12" customHeight="1" x14ac:dyDescent="0.2">
      <c r="B172" s="229"/>
      <c r="C172" s="230"/>
      <c r="D172" s="231"/>
      <c r="E172" s="231"/>
      <c r="F172" s="231"/>
      <c r="G172" s="232"/>
      <c r="H172" s="230"/>
      <c r="I172" s="232"/>
      <c r="J172" s="232"/>
      <c r="K172" s="232"/>
      <c r="L172" s="232"/>
      <c r="M172" s="231"/>
      <c r="N172" s="231"/>
      <c r="O172" s="231"/>
      <c r="P172" s="229"/>
      <c r="S172" s="229"/>
      <c r="T172" s="229"/>
      <c r="U172" s="229"/>
      <c r="V172" s="229"/>
      <c r="X172" s="232"/>
      <c r="Y172" s="232"/>
    </row>
    <row r="173" spans="2:25" ht="12" customHeight="1" x14ac:dyDescent="0.2">
      <c r="B173" s="229"/>
      <c r="C173" s="230"/>
      <c r="D173" s="231"/>
      <c r="E173" s="231"/>
      <c r="F173" s="231"/>
      <c r="G173" s="232"/>
      <c r="H173" s="230"/>
      <c r="I173" s="232"/>
      <c r="J173" s="232"/>
      <c r="K173" s="232"/>
      <c r="L173" s="232"/>
      <c r="M173" s="231"/>
      <c r="N173" s="231"/>
      <c r="O173" s="231"/>
      <c r="P173" s="229"/>
      <c r="S173" s="229"/>
      <c r="T173" s="229"/>
      <c r="U173" s="229"/>
      <c r="V173" s="229"/>
      <c r="X173" s="232"/>
      <c r="Y173" s="232"/>
    </row>
    <row r="174" spans="2:25" ht="12" customHeight="1" x14ac:dyDescent="0.2">
      <c r="B174" s="229"/>
      <c r="C174" s="230"/>
      <c r="D174" s="231"/>
      <c r="E174" s="231"/>
      <c r="F174" s="231"/>
      <c r="G174" s="232"/>
      <c r="H174" s="230"/>
      <c r="I174" s="232"/>
      <c r="J174" s="232"/>
      <c r="K174" s="232"/>
      <c r="L174" s="232"/>
      <c r="M174" s="231"/>
      <c r="N174" s="231"/>
      <c r="O174" s="231"/>
      <c r="P174" s="229"/>
      <c r="S174" s="229"/>
      <c r="T174" s="229"/>
      <c r="U174" s="229"/>
      <c r="V174" s="229"/>
      <c r="X174" s="232"/>
      <c r="Y174" s="232"/>
    </row>
    <row r="175" spans="2:25" ht="12" customHeight="1" x14ac:dyDescent="0.2">
      <c r="B175" s="229"/>
      <c r="C175" s="230"/>
      <c r="D175" s="231"/>
      <c r="E175" s="231"/>
      <c r="F175" s="231"/>
      <c r="G175" s="232"/>
      <c r="H175" s="230"/>
      <c r="I175" s="232"/>
      <c r="J175" s="232"/>
      <c r="K175" s="232"/>
      <c r="L175" s="232"/>
      <c r="M175" s="231"/>
      <c r="N175" s="231"/>
      <c r="O175" s="231"/>
      <c r="P175" s="229"/>
      <c r="S175" s="229"/>
      <c r="T175" s="229"/>
      <c r="U175" s="229"/>
      <c r="V175" s="229"/>
      <c r="X175" s="232"/>
      <c r="Y175" s="232"/>
    </row>
    <row r="176" spans="2:25" ht="12" customHeight="1" x14ac:dyDescent="0.2">
      <c r="B176" s="229"/>
      <c r="C176" s="230"/>
      <c r="D176" s="231"/>
      <c r="E176" s="231"/>
      <c r="F176" s="231"/>
      <c r="G176" s="232"/>
      <c r="H176" s="230"/>
      <c r="I176" s="232"/>
      <c r="J176" s="232"/>
      <c r="K176" s="232"/>
      <c r="L176" s="232"/>
      <c r="M176" s="231"/>
      <c r="N176" s="231"/>
      <c r="O176" s="231"/>
      <c r="P176" s="229"/>
      <c r="S176" s="229"/>
      <c r="T176" s="229"/>
      <c r="U176" s="229"/>
      <c r="V176" s="229"/>
      <c r="X176" s="232"/>
      <c r="Y176" s="232"/>
    </row>
    <row r="177" spans="2:25" ht="12" customHeight="1" x14ac:dyDescent="0.2">
      <c r="B177" s="229"/>
      <c r="C177" s="230"/>
      <c r="D177" s="231"/>
      <c r="E177" s="231"/>
      <c r="F177" s="231"/>
      <c r="G177" s="232"/>
      <c r="H177" s="230"/>
      <c r="I177" s="232"/>
      <c r="J177" s="232"/>
      <c r="K177" s="232"/>
      <c r="L177" s="232"/>
      <c r="M177" s="231"/>
      <c r="N177" s="231"/>
      <c r="O177" s="231"/>
      <c r="P177" s="229"/>
      <c r="S177" s="229"/>
      <c r="T177" s="229"/>
      <c r="U177" s="229"/>
      <c r="V177" s="229"/>
      <c r="X177" s="232"/>
      <c r="Y177" s="232"/>
    </row>
    <row r="178" spans="2:25" ht="12" customHeight="1" x14ac:dyDescent="0.2">
      <c r="B178" s="229"/>
      <c r="C178" s="230"/>
      <c r="D178" s="231"/>
      <c r="E178" s="231"/>
      <c r="F178" s="231"/>
      <c r="G178" s="232"/>
      <c r="H178" s="230"/>
      <c r="I178" s="232"/>
      <c r="J178" s="232"/>
      <c r="K178" s="232"/>
      <c r="L178" s="232"/>
      <c r="M178" s="231"/>
      <c r="N178" s="231"/>
      <c r="O178" s="231"/>
      <c r="P178" s="229"/>
      <c r="S178" s="229"/>
      <c r="T178" s="229"/>
      <c r="U178" s="229"/>
      <c r="V178" s="229"/>
      <c r="X178" s="232"/>
      <c r="Y178" s="232"/>
    </row>
    <row r="179" spans="2:25" ht="12" customHeight="1" x14ac:dyDescent="0.2">
      <c r="B179" s="229"/>
      <c r="C179" s="230"/>
      <c r="D179" s="231"/>
      <c r="E179" s="231"/>
      <c r="F179" s="231"/>
      <c r="G179" s="232"/>
      <c r="H179" s="230"/>
      <c r="I179" s="232"/>
      <c r="J179" s="232"/>
      <c r="K179" s="232"/>
      <c r="L179" s="232"/>
      <c r="M179" s="231"/>
      <c r="N179" s="231"/>
      <c r="O179" s="231"/>
      <c r="P179" s="229"/>
      <c r="S179" s="229"/>
      <c r="T179" s="229"/>
      <c r="U179" s="229"/>
      <c r="V179" s="229"/>
      <c r="X179" s="232"/>
      <c r="Y179" s="232"/>
    </row>
    <row r="180" spans="2:25" ht="12" customHeight="1" x14ac:dyDescent="0.25">
      <c r="B180" s="229"/>
      <c r="C180" s="230"/>
      <c r="D180" s="231"/>
      <c r="E180" s="231"/>
      <c r="F180" s="231"/>
      <c r="G180" s="232"/>
      <c r="H180" s="230"/>
      <c r="I180" s="232"/>
      <c r="J180" s="232"/>
      <c r="K180" s="232"/>
      <c r="L180" s="232"/>
      <c r="M180" s="231"/>
      <c r="N180" s="231"/>
      <c r="O180" s="231"/>
      <c r="P180" s="229"/>
      <c r="S180" s="229"/>
      <c r="T180" s="229"/>
      <c r="U180" s="204"/>
      <c r="V180" s="204"/>
      <c r="X180" s="232"/>
      <c r="Y180" s="232"/>
    </row>
    <row r="181" spans="2:25" ht="12" customHeight="1" x14ac:dyDescent="0.2">
      <c r="B181" s="229"/>
      <c r="C181" s="230"/>
      <c r="D181" s="231"/>
      <c r="E181" s="231"/>
      <c r="F181" s="231"/>
      <c r="G181" s="232"/>
      <c r="H181" s="230"/>
      <c r="I181" s="232"/>
      <c r="J181" s="232"/>
      <c r="K181" s="232"/>
      <c r="L181" s="232"/>
      <c r="M181" s="231"/>
      <c r="N181" s="231"/>
      <c r="O181" s="231"/>
      <c r="P181" s="229"/>
      <c r="S181" s="229"/>
      <c r="T181" s="229"/>
      <c r="U181" s="229"/>
      <c r="V181" s="229"/>
      <c r="X181" s="232"/>
      <c r="Y181" s="232"/>
    </row>
    <row r="182" spans="2:25" ht="12" customHeight="1" x14ac:dyDescent="0.2">
      <c r="B182" s="229"/>
      <c r="C182" s="230"/>
      <c r="D182" s="231"/>
      <c r="E182" s="231"/>
      <c r="F182" s="231"/>
      <c r="G182" s="232"/>
      <c r="H182" s="230"/>
      <c r="I182" s="232"/>
      <c r="J182" s="232"/>
      <c r="K182" s="232"/>
      <c r="L182" s="232"/>
      <c r="M182" s="231"/>
      <c r="N182" s="231"/>
      <c r="O182" s="231"/>
      <c r="P182" s="229"/>
      <c r="S182" s="229"/>
      <c r="T182" s="229"/>
      <c r="U182" s="229"/>
      <c r="V182" s="229"/>
      <c r="X182" s="232"/>
      <c r="Y182" s="232"/>
    </row>
    <row r="183" spans="2:25" ht="12" customHeight="1" x14ac:dyDescent="0.2">
      <c r="B183" s="229"/>
      <c r="C183" s="230"/>
      <c r="D183" s="231"/>
      <c r="E183" s="231"/>
      <c r="F183" s="231"/>
      <c r="G183" s="232"/>
      <c r="H183" s="230"/>
      <c r="I183" s="232"/>
      <c r="J183" s="232"/>
      <c r="K183" s="232"/>
      <c r="L183" s="232"/>
      <c r="M183" s="231"/>
      <c r="N183" s="231"/>
      <c r="O183" s="231"/>
      <c r="P183" s="229"/>
      <c r="S183" s="229"/>
      <c r="T183" s="229"/>
      <c r="U183" s="229"/>
      <c r="V183" s="229"/>
      <c r="X183" s="232"/>
      <c r="Y183" s="232"/>
    </row>
    <row r="184" spans="2:25" ht="12" customHeight="1" x14ac:dyDescent="0.2">
      <c r="B184" s="229"/>
      <c r="C184" s="230"/>
      <c r="D184" s="231"/>
      <c r="E184" s="231"/>
      <c r="F184" s="231"/>
      <c r="G184" s="232"/>
      <c r="H184" s="230"/>
      <c r="I184" s="232"/>
      <c r="J184" s="232"/>
      <c r="K184" s="232"/>
      <c r="L184" s="232"/>
      <c r="M184" s="231"/>
      <c r="N184" s="231"/>
      <c r="O184" s="231"/>
      <c r="P184" s="229"/>
      <c r="S184" s="229"/>
      <c r="T184" s="229"/>
      <c r="U184" s="229"/>
      <c r="V184" s="229"/>
      <c r="X184" s="232"/>
      <c r="Y184" s="232"/>
    </row>
    <row r="185" spans="2:25" ht="12" customHeight="1" x14ac:dyDescent="0.2">
      <c r="B185" s="229"/>
      <c r="C185" s="230"/>
      <c r="D185" s="231"/>
      <c r="E185" s="231"/>
      <c r="F185" s="231"/>
      <c r="G185" s="232"/>
      <c r="H185" s="230"/>
      <c r="I185" s="232"/>
      <c r="J185" s="232"/>
      <c r="K185" s="232"/>
      <c r="L185" s="232"/>
      <c r="M185" s="231"/>
      <c r="N185" s="231"/>
      <c r="O185" s="231"/>
      <c r="P185" s="229"/>
      <c r="S185" s="229"/>
      <c r="T185" s="229"/>
      <c r="U185" s="229"/>
      <c r="V185" s="229"/>
      <c r="X185" s="232"/>
      <c r="Y185" s="232"/>
    </row>
    <row r="186" spans="2:25" ht="12" customHeight="1" x14ac:dyDescent="0.2">
      <c r="B186" s="229"/>
      <c r="C186" s="230"/>
      <c r="D186" s="231"/>
      <c r="E186" s="231"/>
      <c r="F186" s="231"/>
      <c r="G186" s="232"/>
      <c r="H186" s="230"/>
      <c r="I186" s="232"/>
      <c r="J186" s="232"/>
      <c r="K186" s="232"/>
      <c r="L186" s="232"/>
      <c r="M186" s="231"/>
      <c r="N186" s="231"/>
      <c r="O186" s="231"/>
      <c r="P186" s="229"/>
      <c r="S186" s="229"/>
      <c r="T186" s="229"/>
      <c r="U186" s="229"/>
      <c r="V186" s="229"/>
      <c r="X186" s="232"/>
      <c r="Y186" s="232"/>
    </row>
    <row r="187" spans="2:25" ht="12" customHeight="1" x14ac:dyDescent="0.25">
      <c r="B187" s="229"/>
      <c r="C187" s="230"/>
      <c r="D187" s="231"/>
      <c r="E187" s="231"/>
      <c r="F187" s="231"/>
      <c r="G187" s="232"/>
      <c r="H187" s="230"/>
      <c r="I187" s="232"/>
      <c r="J187" s="232"/>
      <c r="K187" s="232"/>
      <c r="L187" s="232"/>
      <c r="M187" s="231"/>
      <c r="N187" s="231"/>
      <c r="O187" s="231"/>
      <c r="P187" s="229"/>
      <c r="S187" s="229"/>
      <c r="T187" s="229"/>
      <c r="U187" s="204"/>
      <c r="V187" s="229"/>
      <c r="X187" s="232"/>
      <c r="Y187" s="232"/>
    </row>
    <row r="188" spans="2:25" ht="12" customHeight="1" x14ac:dyDescent="0.2">
      <c r="B188" s="229"/>
      <c r="C188" s="230"/>
      <c r="D188" s="231"/>
      <c r="E188" s="231"/>
      <c r="F188" s="231"/>
      <c r="G188" s="232"/>
      <c r="H188" s="230"/>
      <c r="I188" s="232"/>
      <c r="J188" s="232"/>
      <c r="K188" s="232"/>
      <c r="L188" s="232"/>
      <c r="M188" s="231"/>
      <c r="N188" s="231"/>
      <c r="O188" s="231"/>
      <c r="P188" s="229"/>
      <c r="S188" s="229"/>
      <c r="T188" s="229"/>
      <c r="U188" s="229"/>
      <c r="V188" s="229"/>
    </row>
    <row r="189" spans="2:25" ht="12" customHeight="1" x14ac:dyDescent="0.2">
      <c r="B189" s="229"/>
      <c r="C189" s="230"/>
      <c r="D189" s="231"/>
      <c r="E189" s="231"/>
      <c r="F189" s="231"/>
      <c r="G189" s="232"/>
      <c r="H189" s="230"/>
      <c r="I189" s="232"/>
      <c r="J189" s="232"/>
      <c r="K189" s="232"/>
      <c r="L189" s="232"/>
      <c r="M189" s="231"/>
      <c r="N189" s="231"/>
      <c r="O189" s="231"/>
      <c r="P189" s="229"/>
      <c r="S189" s="229"/>
      <c r="T189" s="229"/>
      <c r="U189" s="229"/>
      <c r="V189" s="229"/>
    </row>
    <row r="190" spans="2:25" ht="12" customHeight="1" x14ac:dyDescent="0.2">
      <c r="B190" s="229"/>
      <c r="C190" s="230"/>
      <c r="D190" s="231"/>
      <c r="E190" s="231"/>
      <c r="F190" s="231"/>
      <c r="G190" s="232"/>
      <c r="H190" s="230"/>
      <c r="I190" s="232"/>
      <c r="J190" s="232"/>
      <c r="K190" s="232"/>
      <c r="L190" s="232"/>
      <c r="M190" s="231"/>
      <c r="N190" s="231"/>
      <c r="O190" s="231"/>
      <c r="P190" s="229"/>
      <c r="S190" s="229"/>
      <c r="T190" s="229"/>
      <c r="U190" s="229"/>
      <c r="V190" s="229"/>
    </row>
    <row r="191" spans="2:25" ht="12" customHeight="1" x14ac:dyDescent="0.2">
      <c r="B191" s="229"/>
      <c r="C191" s="230"/>
      <c r="D191" s="231"/>
      <c r="E191" s="231"/>
      <c r="F191" s="231"/>
      <c r="G191" s="232"/>
      <c r="H191" s="230"/>
      <c r="I191" s="232"/>
      <c r="J191" s="232"/>
      <c r="K191" s="232"/>
      <c r="L191" s="232"/>
      <c r="M191" s="231"/>
      <c r="O191" s="231"/>
      <c r="P191" s="229"/>
      <c r="Q191" s="231"/>
      <c r="S191" s="229"/>
      <c r="T191" s="229"/>
      <c r="U191" s="229"/>
      <c r="V191" s="229"/>
    </row>
    <row r="192" spans="2:25" ht="12" customHeight="1" x14ac:dyDescent="0.2">
      <c r="B192" s="239"/>
      <c r="C192" s="230"/>
      <c r="D192" s="231"/>
      <c r="E192" s="231"/>
      <c r="F192" s="231"/>
      <c r="G192" s="232"/>
      <c r="H192" s="230"/>
      <c r="I192" s="232"/>
      <c r="J192" s="232"/>
      <c r="K192" s="232"/>
      <c r="L192" s="239"/>
      <c r="M192" s="231"/>
      <c r="O192" s="231"/>
      <c r="P192" s="239"/>
      <c r="Q192" s="240"/>
      <c r="S192" s="229"/>
      <c r="T192" s="229"/>
      <c r="U192" s="229"/>
      <c r="V192" s="229"/>
    </row>
    <row r="193" spans="2:22" ht="12" customHeight="1" x14ac:dyDescent="0.2">
      <c r="B193" s="229"/>
      <c r="C193" s="230"/>
      <c r="D193" s="231"/>
      <c r="E193" s="231"/>
      <c r="F193" s="231"/>
      <c r="G193" s="232"/>
      <c r="H193" s="230"/>
      <c r="I193" s="232"/>
      <c r="J193" s="232"/>
      <c r="K193" s="232"/>
      <c r="L193" s="232"/>
      <c r="M193" s="231"/>
      <c r="O193" s="231"/>
      <c r="P193" s="229"/>
      <c r="Q193" s="231"/>
      <c r="S193" s="229"/>
      <c r="T193" s="229"/>
      <c r="U193" s="229"/>
      <c r="V193" s="229"/>
    </row>
    <row r="194" spans="2:22" ht="12" customHeight="1" x14ac:dyDescent="0.25">
      <c r="B194" s="229"/>
      <c r="C194" s="230"/>
      <c r="D194" s="231"/>
      <c r="E194" s="231"/>
      <c r="F194" s="231"/>
      <c r="G194" s="241"/>
      <c r="H194" s="230"/>
      <c r="I194" s="241"/>
      <c r="J194" s="241"/>
      <c r="K194" s="242"/>
      <c r="L194" s="232"/>
      <c r="M194" s="231"/>
      <c r="O194" s="231"/>
      <c r="P194" s="229"/>
      <c r="Q194" s="231"/>
      <c r="S194" s="229"/>
      <c r="T194" s="229"/>
      <c r="U194" s="229"/>
      <c r="V194" s="229"/>
    </row>
    <row r="195" spans="2:22" ht="12" customHeight="1" x14ac:dyDescent="0.25">
      <c r="B195" s="243"/>
      <c r="C195" s="243"/>
      <c r="D195" s="239"/>
      <c r="E195" s="239"/>
      <c r="F195" s="239"/>
      <c r="G195" s="243"/>
      <c r="H195" s="243"/>
      <c r="I195" s="243"/>
      <c r="J195" s="243"/>
      <c r="K195" s="244"/>
      <c r="L195" s="239"/>
      <c r="M195" s="240"/>
      <c r="O195" s="239"/>
      <c r="P195" s="239"/>
      <c r="Q195" s="240"/>
      <c r="S195" s="239"/>
      <c r="T195" s="239"/>
      <c r="U195" s="239"/>
      <c r="V195" s="239"/>
    </row>
  </sheetData>
  <mergeCells count="2">
    <mergeCell ref="B7:O9"/>
    <mergeCell ref="I93:Q93"/>
  </mergeCells>
  <dataValidations count="2">
    <dataValidation type="list" allowBlank="1" showInputMessage="1" showErrorMessage="1" sqref="M119:M189 M192:M194 M10:M80 M83:M85">
      <formula1>"ELECTRICO, COMBUSTION, ELECTRICO+COMBUSTION"</formula1>
    </dataValidation>
    <dataValidation type="list" showInputMessage="1" showErrorMessage="1" sqref="O119:O194 O10:O85">
      <formula1>"VIGENTE, DE BAJA, EVALUACION"</formula1>
    </dataValidation>
  </dataValidations>
  <hyperlinks>
    <hyperlink ref="L17" r:id="rId1"/>
    <hyperlink ref="L38" r:id="rId2"/>
    <hyperlink ref="K85" r:id="rId3"/>
    <hyperlink ref="K86" r:id="rId4"/>
    <hyperlink ref="I89" r:id="rId5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9A539B485CCF45826CFD240DDB1499" ma:contentTypeVersion="18" ma:contentTypeDescription="Crear nuevo documento." ma:contentTypeScope="" ma:versionID="3f46a65e3a4bcbca9031f8b8b67c88ad">
  <xsd:schema xmlns:xsd="http://www.w3.org/2001/XMLSchema" xmlns:xs="http://www.w3.org/2001/XMLSchema" xmlns:p="http://schemas.microsoft.com/office/2006/metadata/properties" xmlns:ns2="f51fa980-1588-4d6e-b5f2-2d818b7c76ac" xmlns:ns3="95af0f5b-fb4e-49ed-b313-583fe047581b" targetNamespace="http://schemas.microsoft.com/office/2006/metadata/properties" ma:root="true" ma:fieldsID="1ba07bdede32488bc51ae5a144e99ebd" ns2:_="" ns3:_="">
    <xsd:import namespace="f51fa980-1588-4d6e-b5f2-2d818b7c76ac"/>
    <xsd:import namespace="95af0f5b-fb4e-49ed-b313-583fe04758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IngresadoalSAP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a_JP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fa980-1588-4d6e-b5f2-2d818b7c7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34149bb2-f7ed-4db4-83ce-7ac1b445cb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IngresadoalSAP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a_JP" ma:index="22" nillable="true" ma:displayName="Ingresado al SAP*JP" ma:format="Dropdown" ma:internalName="IngresadoalSAP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a_JP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f0f5b-fb4e-49ed-b313-583fe04758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b231c13-cc81-4696-89f8-665488df2a5c}" ma:internalName="TaxCatchAll" ma:showField="CatchAllData" ma:web="95af0f5b-fb4e-49ed-b313-583fe04758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1fa980-1588-4d6e-b5f2-2d818b7c76ac">
      <Terms xmlns="http://schemas.microsoft.com/office/infopath/2007/PartnerControls"/>
    </lcf76f155ced4ddcb4097134ff3c332f>
    <TaxCatchAll xmlns="95af0f5b-fb4e-49ed-b313-583fe047581b" xsi:nil="true"/>
    <IngresadoalSAP_x002a_JP xmlns="f51fa980-1588-4d6e-b5f2-2d818b7c76ac" xsi:nil="true"/>
  </documentManagement>
</p:properties>
</file>

<file path=customXml/itemProps1.xml><?xml version="1.0" encoding="utf-8"?>
<ds:datastoreItem xmlns:ds="http://schemas.openxmlformats.org/officeDocument/2006/customXml" ds:itemID="{F227E4DE-4E1B-4ED2-B109-426F3503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1DEBDA-CB57-45C6-946E-D16A9621D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1fa980-1588-4d6e-b5f2-2d818b7c76ac"/>
    <ds:schemaRef ds:uri="95af0f5b-fb4e-49ed-b313-583fe04758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186AE3E4-CD75-4683-B2BB-1E9DA72EE505}">
  <ds:schemaRefs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f51fa980-1588-4d6e-b5f2-2d818b7c76ac"/>
    <ds:schemaRef ds:uri="http://purl.org/dc/elements/1.1/"/>
    <ds:schemaRef ds:uri="http://www.w3.org/XML/1998/namespace"/>
    <ds:schemaRef ds:uri="http://schemas.openxmlformats.org/package/2006/metadata/core-properties"/>
    <ds:schemaRef ds:uri="95af0f5b-fb4e-49ed-b313-583fe047581b"/>
    <ds:schemaRef ds:uri="http://schemas.microsoft.com/office/2006/metadata/properties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55</vt:i4>
      </vt:variant>
    </vt:vector>
  </HeadingPairs>
  <TitlesOfParts>
    <vt:vector size="57" baseType="lpstr">
      <vt:lpstr>FORMULARIO_GARANTIA</vt:lpstr>
      <vt:lpstr>BASE_STA</vt:lpstr>
      <vt:lpstr>AQUI_COLOQUE_LAS_FOTOS</vt:lpstr>
      <vt:lpstr>FORMULARIO_GARANTIA!Área_de_impresión</vt:lpstr>
      <vt:lpstr>CELDA_BOLETA_FACTURA</vt:lpstr>
      <vt:lpstr>CELDA_CIUDAD_CLIENTE</vt:lpstr>
      <vt:lpstr>CELDA_DIRECCION_CLIENTE</vt:lpstr>
      <vt:lpstr>CELDA_DISTRIBUIDOR</vt:lpstr>
      <vt:lpstr>CELDA_DISTRIBUIDOR_FILA2</vt:lpstr>
      <vt:lpstr>CELDA_F_AUTORIZACION</vt:lpstr>
      <vt:lpstr>CELDA_F_COMPRA</vt:lpstr>
      <vt:lpstr>CELDA_F_DE_EMISION_STA</vt:lpstr>
      <vt:lpstr>CELDA_F_RECEPCION</vt:lpstr>
      <vt:lpstr>CELDA_FALLA</vt:lpstr>
      <vt:lpstr>CELDA_FALTAN_DATOS</vt:lpstr>
      <vt:lpstr>CELDA_FIRMA_CLIENTE</vt:lpstr>
      <vt:lpstr>CELDA_FORMULARIO_VALIDO_O_NO_VALIDO</vt:lpstr>
      <vt:lpstr>CELDA_INFORME_TECNICO</vt:lpstr>
      <vt:lpstr>CELDA_MODELO</vt:lpstr>
      <vt:lpstr>CELDA_NOM_COMERCIAL_DEL_SERVICIO_TECNICO</vt:lpstr>
      <vt:lpstr>CELDA_NOMBRE_CLIENTE</vt:lpstr>
      <vt:lpstr>CELDA_NOMBRE_DEL_SERVICO_TECNICO</vt:lpstr>
      <vt:lpstr>CELDA_NOMBRE_MPE</vt:lpstr>
      <vt:lpstr>CELDA_NUMERO_MPE_DE_AUTORIZACION</vt:lpstr>
      <vt:lpstr>CELDA_OT</vt:lpstr>
      <vt:lpstr>CELDA_PRIMERA_LINEA_COMENTARIO_MPE</vt:lpstr>
      <vt:lpstr>CELDA_RUC_CLIENTE</vt:lpstr>
      <vt:lpstr>CELDA_RUC_DEL_SERVICIO_TECNICO</vt:lpstr>
      <vt:lpstr>CELDA_SEGUNDA_LINEA_COMENTARIO_MPE</vt:lpstr>
      <vt:lpstr>CELDA_SERIE</vt:lpstr>
      <vt:lpstr>CELDA_TECNICO_DEL_STA</vt:lpstr>
      <vt:lpstr>CELDA_TELEFONO_CLIENTE</vt:lpstr>
      <vt:lpstr>CELDA_TERCERA_LINEA_COMENTARIO_MPE</vt:lpstr>
      <vt:lpstr>CELDA_TOTAL_CODIGOS</vt:lpstr>
      <vt:lpstr>ELIJA_MANO_D_OBRA</vt:lpstr>
      <vt:lpstr>ELIJA_UN_CODIGO_D_FALLA</vt:lpstr>
      <vt:lpstr>ELIJA_UNA_CATEGORIA_D_FALLA</vt:lpstr>
      <vt:lpstr>RANGO_SUMA_CLIENTE</vt:lpstr>
      <vt:lpstr>RANGO_SUMA_DATOS_DOC</vt:lpstr>
      <vt:lpstr>RANGO_SUMA_FALLA_Y_DEBIDOA</vt:lpstr>
      <vt:lpstr>RANGO_SUMA_MODELO</vt:lpstr>
      <vt:lpstr>RANGO_SUMA_OT</vt:lpstr>
      <vt:lpstr>RANGO_SUMA_SERIE</vt:lpstr>
      <vt:lpstr>RANGO_SUMA_ST_STMPE</vt:lpstr>
      <vt:lpstr>RANGO_SUMA_SUSTENTO_COMENTARIO</vt:lpstr>
      <vt:lpstr>RG_CODIGOS</vt:lpstr>
      <vt:lpstr>RG_CODIGOS_DESCRIPCIONES_CANTIDADES</vt:lpstr>
      <vt:lpstr>RG_DATOS_RESUMEN</vt:lpstr>
      <vt:lpstr>RG_MANO_D_OBRA</vt:lpstr>
      <vt:lpstr>SUSTENTO_COMENTARIO_LINEA1</vt:lpstr>
      <vt:lpstr>SUSTENTO_COMENTARIO_LINEA2</vt:lpstr>
      <vt:lpstr>SUSTENTO_COMENTARIO_LINEA3</vt:lpstr>
      <vt:lpstr>SUSTENTO_COMENTARIO_LINEA4</vt:lpstr>
      <vt:lpstr>SUSTENTO_COMENTARIO_LINEA5</vt:lpstr>
      <vt:lpstr>SUSTENTO_COMENTARIO_LINEA6</vt:lpstr>
      <vt:lpstr>SUSTENTO_COMENTARIO_LINEA7</vt:lpstr>
      <vt:lpstr>SUSTENTO_COMENTARIO_LINEA8</vt:lpstr>
    </vt:vector>
  </TitlesOfParts>
  <Manager/>
  <Company>Makita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acontreras</dc:creator>
  <cp:keywords/>
  <dc:description/>
  <cp:lastModifiedBy>ggabriel</cp:lastModifiedBy>
  <cp:revision>6</cp:revision>
  <dcterms:created xsi:type="dcterms:W3CDTF">2009-04-29T15:37:48Z</dcterms:created>
  <dcterms:modified xsi:type="dcterms:W3CDTF">2026-07-20T17:07:34Z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0x0101006E9A539B485CCF45826CFD240DDB1499</vt:lpwstr>
  </property>
  <property fmtid="{D5CDD505-2E9C-101B-9397-08002B2CF9AE}" pid="3" name="MediaServiceImageTags">
    <vt:lpwstr/>
  </property>
</Properties>
</file>